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imon\Desktop\"/>
    </mc:Choice>
  </mc:AlternateContent>
  <xr:revisionPtr revIDLastSave="0" documentId="13_ncr:1_{CB1EF521-9B2F-4B68-B1AD-38FED9A31A92}" xr6:coauthVersionLast="47" xr6:coauthVersionMax="47" xr10:uidLastSave="{00000000-0000-0000-0000-000000000000}"/>
  <bookViews>
    <workbookView xWindow="-108" yWindow="-108" windowWidth="23256" windowHeight="14616" tabRatio="703" firstSheet="3" activeTab="13" xr2:uid="{10ECC523-9921-46BA-BACF-D62C37B2DA19}"/>
  </bookViews>
  <sheets>
    <sheet name="Balance Sheet" sheetId="3" r:id="rId1"/>
    <sheet name="Income Statement" sheetId="1" r:id="rId2"/>
    <sheet name="Cash Flow Statement" sheetId="2" r:id="rId3"/>
    <sheet name="Data" sheetId="5" r:id="rId4"/>
    <sheet name="CRP" sheetId="7" r:id="rId5"/>
    <sheet name="Beta" sheetId="4" r:id="rId6"/>
    <sheet name="Cost of Equity" sheetId="8" r:id="rId7"/>
    <sheet name="Cost of Debt" sheetId="9" r:id="rId8"/>
    <sheet name="WACC" sheetId="10" r:id="rId9"/>
    <sheet name="R&amp;D" sheetId="13" r:id="rId10"/>
    <sheet name="CAPEX" sheetId="14" r:id="rId11"/>
    <sheet name="NON CASH NWC" sheetId="15" r:id="rId12"/>
    <sheet name="FCFF" sheetId="18" r:id="rId13"/>
    <sheet name="GROWTH" sheetId="19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" i="9" l="1"/>
  <c r="C7" i="14"/>
  <c r="C11" i="19"/>
  <c r="S5" i="9"/>
  <c r="Q13" i="9"/>
  <c r="F20" i="7"/>
  <c r="E19" i="7"/>
  <c r="E18" i="7"/>
  <c r="E17" i="7"/>
  <c r="D16" i="7"/>
  <c r="F9" i="5"/>
  <c r="F8" i="5"/>
  <c r="B17" i="5"/>
  <c r="B15" i="5"/>
  <c r="C10" i="15"/>
  <c r="C7" i="15"/>
  <c r="F16" i="13"/>
  <c r="F15" i="13"/>
  <c r="C11" i="14"/>
  <c r="F30" i="19"/>
  <c r="F26" i="19"/>
  <c r="J13" i="19"/>
  <c r="C25" i="19" s="1"/>
  <c r="F6" i="19"/>
  <c r="F4" i="19"/>
  <c r="I4" i="19" s="1"/>
  <c r="I3" i="19"/>
  <c r="C4" i="19"/>
  <c r="F9" i="15"/>
  <c r="E9" i="15"/>
  <c r="D9" i="15"/>
  <c r="C9" i="15"/>
  <c r="G7" i="15"/>
  <c r="G9" i="15" s="1"/>
  <c r="F7" i="15"/>
  <c r="E7" i="15"/>
  <c r="D7" i="15"/>
  <c r="D7" i="18"/>
  <c r="I5" i="19" l="1"/>
  <c r="H9" i="15"/>
  <c r="C10" i="14"/>
  <c r="C8" i="14"/>
  <c r="C6" i="14"/>
  <c r="C5" i="14"/>
  <c r="AE3" i="9"/>
  <c r="AE5" i="9" s="1"/>
  <c r="AE12" i="9" l="1"/>
  <c r="W5" i="9" l="1"/>
  <c r="AE11" i="9"/>
  <c r="AE10" i="9"/>
  <c r="AE9" i="9"/>
  <c r="AE8" i="9"/>
  <c r="AE7" i="9"/>
  <c r="AE6" i="9"/>
  <c r="C14" i="13"/>
  <c r="F14" i="13" s="1"/>
  <c r="C17" i="13"/>
  <c r="F17" i="13" s="1"/>
  <c r="E8" i="13"/>
  <c r="B8" i="5"/>
  <c r="G4" i="13"/>
  <c r="E4" i="13"/>
  <c r="I7" i="13"/>
  <c r="I8" i="13"/>
  <c r="G8" i="13"/>
  <c r="I6" i="13"/>
  <c r="G6" i="13"/>
  <c r="E6" i="13"/>
  <c r="I5" i="13"/>
  <c r="G5" i="13"/>
  <c r="E5" i="13"/>
  <c r="I4" i="13"/>
  <c r="E7" i="13" l="1"/>
  <c r="G7" i="13"/>
  <c r="G9" i="13"/>
  <c r="I9" i="13"/>
  <c r="C9" i="14" l="1"/>
  <c r="D4" i="18" s="1"/>
  <c r="D6" i="18"/>
  <c r="D8" i="18" s="1"/>
  <c r="D5" i="18" s="1"/>
  <c r="I9" i="19" s="1"/>
  <c r="F6" i="5"/>
  <c r="C10" i="4" s="1"/>
  <c r="F4" i="5" s="1"/>
  <c r="D13" i="8" s="1"/>
  <c r="AH3" i="9"/>
  <c r="F10" i="5" s="1"/>
  <c r="D11" i="18" l="1"/>
  <c r="D18" i="19"/>
  <c r="E18" i="19"/>
  <c r="F18" i="19"/>
  <c r="G18" i="19"/>
  <c r="C18" i="19"/>
  <c r="D9" i="18"/>
  <c r="C3" i="19"/>
  <c r="C5" i="19" l="1"/>
  <c r="C8" i="19" s="1"/>
  <c r="F9" i="19"/>
  <c r="C10" i="19" s="1"/>
  <c r="D16" i="19" l="1"/>
  <c r="E16" i="19"/>
  <c r="F16" i="19"/>
  <c r="G16" i="19"/>
  <c r="C16" i="19"/>
  <c r="C17" i="19" s="1"/>
  <c r="AE13" i="9"/>
  <c r="F7" i="5" s="1"/>
  <c r="F28" i="19" s="1"/>
  <c r="S6" i="9"/>
  <c r="T6" i="9" s="1"/>
  <c r="S7" i="9"/>
  <c r="T7" i="9" s="1"/>
  <c r="S8" i="9"/>
  <c r="T8" i="9" s="1"/>
  <c r="S9" i="9"/>
  <c r="T9" i="9" s="1"/>
  <c r="S10" i="9"/>
  <c r="T10" i="9" s="1"/>
  <c r="S11" i="9"/>
  <c r="T11" i="9" s="1"/>
  <c r="S12" i="9"/>
  <c r="T12" i="9" s="1"/>
  <c r="T13" i="9" l="1"/>
  <c r="C19" i="19"/>
  <c r="D17" i="19"/>
  <c r="E18" i="10"/>
  <c r="E17" i="10"/>
  <c r="Q12" i="9"/>
  <c r="Q11" i="9"/>
  <c r="Q10" i="9"/>
  <c r="Q7" i="9"/>
  <c r="E17" i="19" l="1"/>
  <c r="D19" i="19"/>
  <c r="F17" i="19" l="1"/>
  <c r="E19" i="19"/>
  <c r="E16" i="7"/>
  <c r="C20" i="7"/>
  <c r="D17" i="7"/>
  <c r="F17" i="7" s="1"/>
  <c r="F5" i="5" l="1"/>
  <c r="E12" i="10"/>
  <c r="F19" i="19"/>
  <c r="G17" i="19"/>
  <c r="D18" i="7"/>
  <c r="F18" i="7" s="1"/>
  <c r="F16" i="7"/>
  <c r="D19" i="7"/>
  <c r="F19" i="7" s="1"/>
  <c r="F3" i="5" l="1"/>
  <c r="J12" i="19"/>
  <c r="G19" i="19"/>
  <c r="C28" i="19"/>
  <c r="C26" i="19" l="1"/>
  <c r="C27" i="19" s="1"/>
  <c r="C29" i="19" s="1"/>
  <c r="C30" i="19" s="1"/>
  <c r="C31" i="19" s="1"/>
  <c r="C20" i="19"/>
  <c r="C21" i="19" s="1"/>
  <c r="D20" i="19"/>
  <c r="D21" i="19" s="1"/>
  <c r="E20" i="19"/>
  <c r="E21" i="19" s="1"/>
  <c r="F20" i="19"/>
  <c r="F21" i="19" s="1"/>
  <c r="G20" i="19"/>
  <c r="G21" i="19" s="1"/>
  <c r="G22" i="19" l="1"/>
  <c r="F25" i="19" s="1"/>
  <c r="F29" i="19" s="1"/>
  <c r="F31" i="19" s="1"/>
</calcChain>
</file>

<file path=xl/sharedStrings.xml><?xml version="1.0" encoding="utf-8"?>
<sst xmlns="http://schemas.openxmlformats.org/spreadsheetml/2006/main" count="213" uniqueCount="199">
  <si>
    <t>MARKET DATA (thousands)</t>
  </si>
  <si>
    <t>CALCULATED DATA</t>
  </si>
  <si>
    <t>US 10-years T.Bond (Risk-free rate)</t>
  </si>
  <si>
    <t>Source: Investing (24/10/2022)</t>
  </si>
  <si>
    <t>Interest C.R.</t>
  </si>
  <si>
    <t>ERP (USA)</t>
  </si>
  <si>
    <t>Source: Damodaran Website</t>
  </si>
  <si>
    <t>Pre-tax KD</t>
  </si>
  <si>
    <t>Unlevered Business Beta (Industry: Entertainment)</t>
  </si>
  <si>
    <t>Aft. Tax KD</t>
  </si>
  <si>
    <t xml:space="preserve">Shares </t>
  </si>
  <si>
    <t>Annual Report (2021)</t>
  </si>
  <si>
    <t>Def. Spread</t>
  </si>
  <si>
    <t>Price per share</t>
  </si>
  <si>
    <t>17/10/22 Source:Yahoo Finance</t>
  </si>
  <si>
    <t>D/E</t>
  </si>
  <si>
    <t>Market capitalization (Equity)</t>
  </si>
  <si>
    <t>WACC</t>
  </si>
  <si>
    <t>Marginal tax rate</t>
  </si>
  <si>
    <t>Market Value of Debt (thousands)</t>
  </si>
  <si>
    <t>Beta Levered</t>
  </si>
  <si>
    <t>KE</t>
  </si>
  <si>
    <t>FINANCIAL DATA (thousands)</t>
  </si>
  <si>
    <t>Long-term debt (2021, Balance Sheet)</t>
  </si>
  <si>
    <t xml:space="preserve">Current EBIT </t>
  </si>
  <si>
    <t>Source: Netflix Investors, 2022 Quarterly Earnings</t>
  </si>
  <si>
    <t>Current EBIT TTM</t>
  </si>
  <si>
    <t>Three Months Ended (thousands)</t>
  </si>
  <si>
    <t xml:space="preserve">Current  Interest Expense </t>
  </si>
  <si>
    <t>December 31,</t>
  </si>
  <si>
    <t>March 31,</t>
  </si>
  <si>
    <t>June 30,</t>
  </si>
  <si>
    <t>September 30,</t>
  </si>
  <si>
    <t>Current Interest Expense TTM</t>
  </si>
  <si>
    <t>EBIT</t>
  </si>
  <si>
    <t>Interest Expense</t>
  </si>
  <si>
    <t>Region</t>
  </si>
  <si>
    <t>CRP for macro-regions (Source: Damodaran website)</t>
  </si>
  <si>
    <t>USA &amp; Canada</t>
  </si>
  <si>
    <t>Western Europe</t>
  </si>
  <si>
    <t>Eastern Europe &amp; Russia</t>
  </si>
  <si>
    <t>Middle East</t>
  </si>
  <si>
    <t>Africa</t>
  </si>
  <si>
    <t>Latina America</t>
  </si>
  <si>
    <t>Asia</t>
  </si>
  <si>
    <t>Australia &amp; New Zeland</t>
  </si>
  <si>
    <t>Country</t>
  </si>
  <si>
    <t>Sales (Annual Report 2021)</t>
  </si>
  <si>
    <t>Sales %</t>
  </si>
  <si>
    <t>CRP</t>
  </si>
  <si>
    <t>WA CRP</t>
  </si>
  <si>
    <t>Europe, Middle East and Africa</t>
  </si>
  <si>
    <t>Latin America</t>
  </si>
  <si>
    <t>Asia Pacific</t>
  </si>
  <si>
    <t>Total</t>
  </si>
  <si>
    <t>Beta levered =</t>
  </si>
  <si>
    <t>Cost of equity =</t>
  </si>
  <si>
    <t>Debt structure in 31/12/2021</t>
  </si>
  <si>
    <t>Pre-tax Cost of Debt =</t>
  </si>
  <si>
    <t>After-tax Cost of Debt =</t>
  </si>
  <si>
    <t>Maturity</t>
  </si>
  <si>
    <t>Senior debt (in millions)</t>
  </si>
  <si>
    <t>Years</t>
  </si>
  <si>
    <t>%Debt</t>
  </si>
  <si>
    <t>W.A. Maturity</t>
  </si>
  <si>
    <t>Interest coverage ratio</t>
  </si>
  <si>
    <t>Corporate Default Spread</t>
  </si>
  <si>
    <t>For developed market firms with market cap &gt; $5 billion</t>
  </si>
  <si>
    <t>Year 1</t>
  </si>
  <si>
    <t>2022-24</t>
  </si>
  <si>
    <t>If interest coverage ratio is</t>
  </si>
  <si>
    <t>Year 2</t>
  </si>
  <si>
    <t>2022-25</t>
  </si>
  <si>
    <t>&gt;</t>
  </si>
  <si>
    <t>≤ to</t>
  </si>
  <si>
    <t>Rating is</t>
  </si>
  <si>
    <t>Spread is</t>
  </si>
  <si>
    <t>Year 3</t>
  </si>
  <si>
    <t>2022-26</t>
  </si>
  <si>
    <t>8.50</t>
  </si>
  <si>
    <t>Aaa/AAA</t>
  </si>
  <si>
    <t>Year 4</t>
  </si>
  <si>
    <t>2022-27</t>
  </si>
  <si>
    <t>6.5</t>
  </si>
  <si>
    <t>Aa2/AA</t>
  </si>
  <si>
    <t>Year 5</t>
  </si>
  <si>
    <t>2022-28</t>
  </si>
  <si>
    <t>5.5</t>
  </si>
  <si>
    <t>A1/A+</t>
  </si>
  <si>
    <t>Year 6</t>
  </si>
  <si>
    <t>2022-29</t>
  </si>
  <si>
    <t>4.25</t>
  </si>
  <si>
    <t>A2/A</t>
  </si>
  <si>
    <t>Year 7</t>
  </si>
  <si>
    <t>2022-30</t>
  </si>
  <si>
    <t>A3/A-</t>
  </si>
  <si>
    <t>2.5</t>
  </si>
  <si>
    <t>Baa2/BBB</t>
  </si>
  <si>
    <t>Market value of Debt</t>
  </si>
  <si>
    <t>2.25</t>
  </si>
  <si>
    <t>Ba1/BB+</t>
  </si>
  <si>
    <t>Ba2/BB</t>
  </si>
  <si>
    <t>1.75</t>
  </si>
  <si>
    <t>B1/B+</t>
  </si>
  <si>
    <t>1.5</t>
  </si>
  <si>
    <t>B2/B</t>
  </si>
  <si>
    <t>1.25</t>
  </si>
  <si>
    <t>B3/B-</t>
  </si>
  <si>
    <t>0.8</t>
  </si>
  <si>
    <t>Caa/CCC</t>
  </si>
  <si>
    <t>0.65</t>
  </si>
  <si>
    <t>0.799999</t>
  </si>
  <si>
    <t>Ca2/CC</t>
  </si>
  <si>
    <t>0.2</t>
  </si>
  <si>
    <t>0.649999</t>
  </si>
  <si>
    <t>C2/C</t>
  </si>
  <si>
    <t>0.199999</t>
  </si>
  <si>
    <t>D2/D</t>
  </si>
  <si>
    <t>WACC =</t>
  </si>
  <si>
    <t>E/(E+D)</t>
  </si>
  <si>
    <t>D/(E+D)</t>
  </si>
  <si>
    <t>Accumulated Depreciation 31/12/2021</t>
  </si>
  <si>
    <t>Unamortized Portion 31/12/21</t>
  </si>
  <si>
    <t>Amortization 31/12/21</t>
  </si>
  <si>
    <t>Value of R&amp;D asset</t>
  </si>
  <si>
    <t>Amortization of Research asset</t>
  </si>
  <si>
    <t>All numbers in thousands</t>
  </si>
  <si>
    <t>Operating Income</t>
  </si>
  <si>
    <t>ADJ Operating Income</t>
  </si>
  <si>
    <t>Net Income</t>
  </si>
  <si>
    <t>ADJ Net Income</t>
  </si>
  <si>
    <t>Book Value of Equity</t>
  </si>
  <si>
    <t>ADJ BV Equity</t>
  </si>
  <si>
    <t>Book Value of Capital</t>
  </si>
  <si>
    <t>ADJ BV Capital</t>
  </si>
  <si>
    <t>Source: Annual report</t>
  </si>
  <si>
    <t xml:space="preserve">All numbers in thousands </t>
  </si>
  <si>
    <t>CAPEX (in thousands)</t>
  </si>
  <si>
    <t>CAPEX</t>
  </si>
  <si>
    <t xml:space="preserve">D&amp;A </t>
  </si>
  <si>
    <t>Net CAPEX</t>
  </si>
  <si>
    <t>R&amp;D EXP</t>
  </si>
  <si>
    <t>D&amp;A (in thousands)</t>
  </si>
  <si>
    <t xml:space="preserve"> </t>
  </si>
  <si>
    <t>Amortization R&amp;D</t>
  </si>
  <si>
    <t>Norm. Acquisitions (ave5y)</t>
  </si>
  <si>
    <t>ADJ NET CAPEX</t>
  </si>
  <si>
    <t>ACQUISITIONS (in thousands)</t>
  </si>
  <si>
    <t>(All numbers in thousands)</t>
  </si>
  <si>
    <t>Hist. Average</t>
  </si>
  <si>
    <t>Δ Inventory</t>
  </si>
  <si>
    <t>Δ Receivables</t>
  </si>
  <si>
    <t>Δ NonCash Net WC</t>
  </si>
  <si>
    <t>Revenues</t>
  </si>
  <si>
    <t>Δ NC NWC as % of Revenues</t>
  </si>
  <si>
    <t>Est. Δ NonCash Net WC Need</t>
  </si>
  <si>
    <t>Reinvestment Needs (in thousands)</t>
  </si>
  <si>
    <t xml:space="preserve">Reinvestment Rate </t>
  </si>
  <si>
    <t>Adj. Op.Income</t>
  </si>
  <si>
    <t>Adj. After-Tax Op.Income</t>
  </si>
  <si>
    <t>FCFF</t>
  </si>
  <si>
    <t>or</t>
  </si>
  <si>
    <t>BV Equity (Balance Sheet)</t>
  </si>
  <si>
    <t>Sales</t>
  </si>
  <si>
    <t>BV Debt</t>
  </si>
  <si>
    <t>Invested Capital (IC)</t>
  </si>
  <si>
    <t>Return on Sales (ROS)</t>
  </si>
  <si>
    <t>Cash and cash equivalents (Balance Sheet)</t>
  </si>
  <si>
    <t>Sales to capital ratio</t>
  </si>
  <si>
    <t>Return on Invested Capital (ROIC)</t>
  </si>
  <si>
    <t>Adj. ROIC</t>
  </si>
  <si>
    <r>
      <t>g</t>
    </r>
    <r>
      <rPr>
        <b/>
        <vertAlign val="subscript"/>
        <sz val="16"/>
        <color theme="0"/>
        <rFont val="Calibri"/>
        <family val="2"/>
      </rPr>
      <t>oi</t>
    </r>
  </si>
  <si>
    <t xml:space="preserve">WACC </t>
  </si>
  <si>
    <t>High-growth period</t>
  </si>
  <si>
    <t>Risk-free rate</t>
  </si>
  <si>
    <t>Year</t>
  </si>
  <si>
    <t>High-growth rate</t>
  </si>
  <si>
    <t>Reinvestment Rate</t>
  </si>
  <si>
    <t>PV FCFF</t>
  </si>
  <si>
    <t>Stable-growth rate</t>
  </si>
  <si>
    <t>Value Operating Assets</t>
  </si>
  <si>
    <t>+ Cash</t>
  </si>
  <si>
    <t>Stable RR</t>
  </si>
  <si>
    <t>+/- MV Holdings</t>
  </si>
  <si>
    <t>Adj. After-Tax Op.Income Y6</t>
  </si>
  <si>
    <t>-  MV Debt</t>
  </si>
  <si>
    <t>FCFF Y6</t>
  </si>
  <si>
    <t>Value of Equity</t>
  </si>
  <si>
    <t>Terminal Value</t>
  </si>
  <si>
    <t>PV Terminal Value</t>
  </si>
  <si>
    <t>Value per share</t>
  </si>
  <si>
    <t>Stable ROIC</t>
  </si>
  <si>
    <t># Shares</t>
  </si>
  <si>
    <t>R&amp;D Expense (in thousands)</t>
  </si>
  <si>
    <t>Current price (16/12/2022)</t>
  </si>
  <si>
    <t>Δ Payables</t>
  </si>
  <si>
    <t>Industry ROIC (Entertainment)</t>
  </si>
  <si>
    <t>Industry RR</t>
  </si>
  <si>
    <r>
      <rPr>
        <b/>
        <sz val="11"/>
        <color theme="0"/>
        <rFont val="Calibri"/>
        <family val="2"/>
      </rPr>
      <t>Industry</t>
    </r>
    <r>
      <rPr>
        <b/>
        <sz val="16"/>
        <color theme="0"/>
        <rFont val="Calibri"/>
        <family val="2"/>
      </rPr>
      <t xml:space="preserve"> </t>
    </r>
    <r>
      <rPr>
        <b/>
        <sz val="16"/>
        <color theme="0"/>
        <rFont val="Calibri"/>
        <family val="2"/>
        <scheme val="minor"/>
      </rPr>
      <t>g</t>
    </r>
    <r>
      <rPr>
        <b/>
        <vertAlign val="subscript"/>
        <sz val="16"/>
        <color theme="0"/>
        <rFont val="Calibri"/>
        <family val="2"/>
        <scheme val="minor"/>
      </rPr>
      <t>oi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</si>
</sst>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0.00000"/>
    <numFmt numFmtId="167" formatCode="0.0%"/>
    <numFmt numFmtId="168" formatCode="_-[$$-409]* #,##0.00_ ;_-[$$-409]* \-#,##0.00\ ;_-[$$-409]* &quot;-&quot;??_ ;_-@_ "/>
    <numFmt numFmtId="169" formatCode="#,##0.0\ ;\(#,##0.0\)"/>
    <numFmt numFmtId="170" formatCode="_-[$$-409]* #,##0_ ;_-[$$-409]* \-#,##0\ ;_-[$$-409]* &quot;-&quot;??_ ;_-@_ "/>
    <numFmt numFmtId="171" formatCode="_-* #,##0\ _€_-;\-* #,##0\ _€_-;_-* &quot;-&quot;??\ _€_-;_-@_-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sz val="11"/>
      <color rgb="FF3F3F3F"/>
      <name val="Calibri"/>
      <family val="2"/>
      <scheme val="minor"/>
    </font>
    <font>
      <sz val="10"/>
      <name val="Helv"/>
    </font>
    <font>
      <b/>
      <sz val="1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theme="0"/>
      <name val="Calibri"/>
      <family val="2"/>
    </font>
    <font>
      <b/>
      <vertAlign val="subscript"/>
      <sz val="16"/>
      <color theme="0"/>
      <name val="Calibri"/>
      <family val="2"/>
    </font>
    <font>
      <b/>
      <sz val="11"/>
      <color theme="0"/>
      <name val="Calibri"/>
      <family val="2"/>
    </font>
    <font>
      <b/>
      <sz val="16"/>
      <color theme="0"/>
      <name val="Calibri"/>
      <family val="2"/>
      <scheme val="minor"/>
    </font>
    <font>
      <b/>
      <vertAlign val="subscript"/>
      <sz val="16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6" tint="0.59999389629810485"/>
        <bgColor indexed="65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2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18" applyNumberFormat="0" applyAlignment="0" applyProtection="0"/>
    <xf numFmtId="0" fontId="5" fillId="9" borderId="19" applyNumberFormat="0" applyAlignment="0" applyProtection="0"/>
    <xf numFmtId="0" fontId="3" fillId="0" borderId="20" applyNumberFormat="0" applyFill="0" applyAlignment="0" applyProtection="0"/>
    <xf numFmtId="0" fontId="2" fillId="10" borderId="0" applyNumberFormat="0" applyBorder="0" applyAlignment="0" applyProtection="0"/>
    <xf numFmtId="44" fontId="2" fillId="0" borderId="0" applyFont="0" applyFill="0" applyBorder="0" applyAlignment="0" applyProtection="0"/>
    <xf numFmtId="0" fontId="19" fillId="0" borderId="0"/>
    <xf numFmtId="0" fontId="21" fillId="0" borderId="0"/>
  </cellStyleXfs>
  <cellXfs count="179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164" fontId="1" fillId="0" borderId="0" xfId="0" applyNumberFormat="1" applyFont="1"/>
    <xf numFmtId="9" fontId="1" fillId="0" borderId="0" xfId="0" applyNumberFormat="1" applyFont="1"/>
    <xf numFmtId="2" fontId="1" fillId="0" borderId="0" xfId="0" applyNumberFormat="1" applyFont="1"/>
    <xf numFmtId="10" fontId="1" fillId="0" borderId="0" xfId="0" applyNumberFormat="1" applyFont="1"/>
    <xf numFmtId="0" fontId="3" fillId="2" borderId="1" xfId="0" applyFont="1" applyFill="1" applyBorder="1" applyAlignment="1">
      <alignment horizontal="center"/>
    </xf>
    <xf numFmtId="43" fontId="0" fillId="0" borderId="0" xfId="2" applyFont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" fontId="8" fillId="0" borderId="0" xfId="0" applyNumberFormat="1" applyFont="1" applyAlignment="1">
      <alignment horizontal="center"/>
    </xf>
    <xf numFmtId="9" fontId="8" fillId="0" borderId="0" xfId="1" applyFont="1" applyAlignment="1">
      <alignment horizontal="center"/>
    </xf>
    <xf numFmtId="10" fontId="8" fillId="0" borderId="0" xfId="0" applyNumberFormat="1" applyFont="1" applyAlignment="1">
      <alignment horizontal="center"/>
    </xf>
    <xf numFmtId="10" fontId="1" fillId="0" borderId="1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0" fillId="0" borderId="0" xfId="0" applyFont="1"/>
    <xf numFmtId="0" fontId="0" fillId="0" borderId="1" xfId="0" applyBorder="1" applyAlignment="1">
      <alignment horizontal="center" vertical="center"/>
    </xf>
    <xf numFmtId="10" fontId="0" fillId="0" borderId="0" xfId="1" applyNumberFormat="1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9" fontId="1" fillId="0" borderId="1" xfId="1" applyFont="1" applyBorder="1"/>
    <xf numFmtId="9" fontId="1" fillId="0" borderId="1" xfId="0" applyNumberFormat="1" applyFont="1" applyBorder="1"/>
    <xf numFmtId="10" fontId="0" fillId="0" borderId="1" xfId="0" applyNumberFormat="1" applyBorder="1"/>
    <xf numFmtId="0" fontId="0" fillId="0" borderId="1" xfId="0" applyBorder="1"/>
    <xf numFmtId="9" fontId="0" fillId="0" borderId="1" xfId="0" applyNumberFormat="1" applyBorder="1" applyAlignment="1">
      <alignment horizontal="center"/>
    </xf>
    <xf numFmtId="165" fontId="0" fillId="0" borderId="1" xfId="2" applyNumberFormat="1" applyFont="1" applyBorder="1"/>
    <xf numFmtId="43" fontId="0" fillId="0" borderId="0" xfId="0" applyNumberFormat="1"/>
    <xf numFmtId="0" fontId="11" fillId="0" borderId="0" xfId="0" applyFont="1"/>
    <xf numFmtId="10" fontId="1" fillId="0" borderId="0" xfId="1" applyNumberFormat="1" applyFont="1"/>
    <xf numFmtId="0" fontId="9" fillId="5" borderId="0" xfId="0" applyFont="1" applyFill="1" applyAlignment="1">
      <alignment horizontal="right"/>
    </xf>
    <xf numFmtId="10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10" fontId="3" fillId="2" borderId="1" xfId="0" applyNumberFormat="1" applyFont="1" applyFill="1" applyBorder="1" applyAlignment="1">
      <alignment horizontal="left" wrapText="1"/>
    </xf>
    <xf numFmtId="10" fontId="0" fillId="0" borderId="1" xfId="1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0" fontId="0" fillId="4" borderId="7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10" fontId="13" fillId="4" borderId="9" xfId="3" applyNumberFormat="1" applyFont="1" applyFill="1" applyBorder="1" applyAlignment="1">
      <alignment horizontal="center"/>
    </xf>
    <xf numFmtId="10" fontId="0" fillId="4" borderId="9" xfId="0" applyNumberFormat="1" applyFill="1" applyBorder="1" applyAlignment="1">
      <alignment horizontal="center"/>
    </xf>
    <xf numFmtId="9" fontId="0" fillId="4" borderId="9" xfId="0" applyNumberForma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10" fontId="0" fillId="4" borderId="12" xfId="0" applyNumberForma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3" fontId="14" fillId="2" borderId="1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10" fontId="14" fillId="2" borderId="9" xfId="3" applyNumberFormat="1" applyFont="1" applyFill="1" applyBorder="1" applyAlignment="1">
      <alignment horizontal="center"/>
    </xf>
    <xf numFmtId="0" fontId="11" fillId="0" borderId="0" xfId="0" applyFont="1" applyAlignment="1">
      <alignment wrapText="1"/>
    </xf>
    <xf numFmtId="0" fontId="5" fillId="5" borderId="1" xfId="0" applyFont="1" applyFill="1" applyBorder="1"/>
    <xf numFmtId="0" fontId="14" fillId="2" borderId="1" xfId="0" applyFont="1" applyFill="1" applyBorder="1"/>
    <xf numFmtId="10" fontId="14" fillId="2" borderId="1" xfId="1" applyNumberFormat="1" applyFont="1" applyFill="1" applyBorder="1" applyAlignment="1">
      <alignment horizontal="left"/>
    </xf>
    <xf numFmtId="0" fontId="3" fillId="2" borderId="17" xfId="0" applyFont="1" applyFill="1" applyBorder="1" applyAlignment="1">
      <alignment horizontal="center"/>
    </xf>
    <xf numFmtId="167" fontId="1" fillId="0" borderId="0" xfId="1" applyNumberFormat="1" applyFont="1" applyAlignment="1">
      <alignment horizontal="left"/>
    </xf>
    <xf numFmtId="166" fontId="0" fillId="0" borderId="0" xfId="0" applyNumberFormat="1"/>
    <xf numFmtId="2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7" borderId="1" xfId="4" applyFont="1" applyBorder="1" applyAlignment="1">
      <alignment horizontal="left"/>
    </xf>
    <xf numFmtId="0" fontId="5" fillId="7" borderId="1" xfId="4" applyFont="1" applyBorder="1" applyAlignment="1"/>
    <xf numFmtId="0" fontId="3" fillId="0" borderId="0" xfId="7" applyBorder="1"/>
    <xf numFmtId="168" fontId="0" fillId="0" borderId="0" xfId="9" applyNumberFormat="1" applyFont="1"/>
    <xf numFmtId="0" fontId="17" fillId="0" borderId="0" xfId="0" applyFont="1"/>
    <xf numFmtId="168" fontId="0" fillId="0" borderId="0" xfId="0" applyNumberFormat="1"/>
    <xf numFmtId="0" fontId="5" fillId="5" borderId="1" xfId="0" applyFont="1" applyFill="1" applyBorder="1" applyAlignment="1">
      <alignment horizontal="right"/>
    </xf>
    <xf numFmtId="0" fontId="5" fillId="7" borderId="1" xfId="4" applyFont="1" applyBorder="1"/>
    <xf numFmtId="9" fontId="2" fillId="4" borderId="1" xfId="8" applyNumberFormat="1" applyFill="1" applyBorder="1" applyAlignment="1">
      <alignment horizontal="center"/>
    </xf>
    <xf numFmtId="0" fontId="5" fillId="7" borderId="1" xfId="4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/>
    </xf>
    <xf numFmtId="0" fontId="5" fillId="5" borderId="1" xfId="6" applyFill="1" applyBorder="1"/>
    <xf numFmtId="9" fontId="0" fillId="0" borderId="1" xfId="1" applyFont="1" applyBorder="1"/>
    <xf numFmtId="169" fontId="20" fillId="2" borderId="1" xfId="10" applyNumberFormat="1" applyFont="1" applyFill="1" applyBorder="1" applyAlignment="1">
      <alignment horizontal="center"/>
    </xf>
    <xf numFmtId="0" fontId="20" fillId="2" borderId="1" xfId="10" applyFont="1" applyFill="1" applyBorder="1" applyAlignment="1">
      <alignment horizontal="center"/>
    </xf>
    <xf numFmtId="0" fontId="3" fillId="2" borderId="1" xfId="0" applyFont="1" applyFill="1" applyBorder="1"/>
    <xf numFmtId="0" fontId="5" fillId="5" borderId="1" xfId="0" applyFont="1" applyFill="1" applyBorder="1" applyAlignment="1">
      <alignment horizontal="center"/>
    </xf>
    <xf numFmtId="10" fontId="0" fillId="0" borderId="1" xfId="1" applyNumberFormat="1" applyFont="1" applyBorder="1" applyAlignment="1">
      <alignment horizontal="left"/>
    </xf>
    <xf numFmtId="0" fontId="3" fillId="2" borderId="1" xfId="0" applyFont="1" applyFill="1" applyBorder="1" applyAlignment="1">
      <alignment wrapText="1"/>
    </xf>
    <xf numFmtId="0" fontId="3" fillId="2" borderId="1" xfId="6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10" fontId="9" fillId="5" borderId="1" xfId="1" applyNumberFormat="1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2" fontId="14" fillId="2" borderId="1" xfId="0" applyNumberFormat="1" applyFont="1" applyFill="1" applyBorder="1" applyAlignment="1">
      <alignment horizontal="center"/>
    </xf>
    <xf numFmtId="170" fontId="0" fillId="0" borderId="1" xfId="9" applyNumberFormat="1" applyFont="1" applyBorder="1"/>
    <xf numFmtId="165" fontId="0" fillId="0" borderId="1" xfId="2" applyNumberFormat="1" applyFont="1" applyBorder="1" applyAlignment="1">
      <alignment horizontal="center"/>
    </xf>
    <xf numFmtId="167" fontId="0" fillId="0" borderId="1" xfId="1" applyNumberFormat="1" applyFont="1" applyBorder="1" applyAlignment="1">
      <alignment horizontal="center"/>
    </xf>
    <xf numFmtId="10" fontId="3" fillId="2" borderId="1" xfId="0" applyNumberFormat="1" applyFont="1" applyFill="1" applyBorder="1" applyAlignment="1">
      <alignment horizontal="center"/>
    </xf>
    <xf numFmtId="168" fontId="0" fillId="0" borderId="1" xfId="9" applyNumberFormat="1" applyFont="1" applyBorder="1"/>
    <xf numFmtId="0" fontId="5" fillId="3" borderId="1" xfId="0" applyFont="1" applyFill="1" applyBorder="1"/>
    <xf numFmtId="170" fontId="0" fillId="0" borderId="1" xfId="0" applyNumberFormat="1" applyBorder="1"/>
    <xf numFmtId="168" fontId="0" fillId="0" borderId="1" xfId="9" applyNumberFormat="1" applyFont="1" applyFill="1" applyBorder="1"/>
    <xf numFmtId="9" fontId="0" fillId="4" borderId="1" xfId="1" applyFont="1" applyFill="1" applyBorder="1"/>
    <xf numFmtId="170" fontId="0" fillId="0" borderId="1" xfId="9" applyNumberFormat="1" applyFont="1" applyFill="1" applyBorder="1"/>
    <xf numFmtId="170" fontId="2" fillId="4" borderId="1" xfId="9" applyNumberFormat="1" applyFont="1" applyFill="1" applyBorder="1" applyAlignment="1">
      <alignment horizontal="center"/>
    </xf>
    <xf numFmtId="170" fontId="2" fillId="4" borderId="1" xfId="9" applyNumberFormat="1" applyFont="1" applyFill="1" applyBorder="1" applyAlignment="1">
      <alignment horizontal="left"/>
    </xf>
    <xf numFmtId="170" fontId="2" fillId="4" borderId="1" xfId="9" applyNumberFormat="1" applyFont="1" applyFill="1" applyBorder="1" applyAlignment="1"/>
    <xf numFmtId="9" fontId="0" fillId="0" borderId="1" xfId="1" applyFont="1" applyBorder="1" applyAlignment="1">
      <alignment horizontal="center"/>
    </xf>
    <xf numFmtId="170" fontId="0" fillId="0" borderId="4" xfId="0" applyNumberFormat="1" applyBorder="1"/>
    <xf numFmtId="0" fontId="3" fillId="2" borderId="16" xfId="0" applyFont="1" applyFill="1" applyBorder="1"/>
    <xf numFmtId="170" fontId="0" fillId="0" borderId="16" xfId="0" applyNumberFormat="1" applyBorder="1"/>
    <xf numFmtId="0" fontId="3" fillId="2" borderId="21" xfId="0" applyFont="1" applyFill="1" applyBorder="1"/>
    <xf numFmtId="170" fontId="0" fillId="0" borderId="21" xfId="0" applyNumberFormat="1" applyBorder="1"/>
    <xf numFmtId="0" fontId="3" fillId="2" borderId="24" xfId="0" applyFont="1" applyFill="1" applyBorder="1"/>
    <xf numFmtId="0" fontId="5" fillId="5" borderId="24" xfId="0" applyFont="1" applyFill="1" applyBorder="1"/>
    <xf numFmtId="9" fontId="0" fillId="0" borderId="24" xfId="0" applyNumberFormat="1" applyBorder="1"/>
    <xf numFmtId="0" fontId="5" fillId="5" borderId="24" xfId="0" applyFont="1" applyFill="1" applyBorder="1" applyAlignment="1">
      <alignment vertical="center"/>
    </xf>
    <xf numFmtId="9" fontId="0" fillId="0" borderId="24" xfId="0" applyNumberFormat="1" applyBorder="1" applyAlignment="1">
      <alignment horizontal="center" vertical="center"/>
    </xf>
    <xf numFmtId="0" fontId="3" fillId="2" borderId="25" xfId="0" applyFont="1" applyFill="1" applyBorder="1"/>
    <xf numFmtId="10" fontId="0" fillId="0" borderId="24" xfId="0" applyNumberFormat="1" applyBorder="1"/>
    <xf numFmtId="0" fontId="3" fillId="2" borderId="24" xfId="0" applyFont="1" applyFill="1" applyBorder="1" applyAlignment="1">
      <alignment horizontal="left"/>
    </xf>
    <xf numFmtId="0" fontId="22" fillId="2" borderId="25" xfId="0" applyFont="1" applyFill="1" applyBorder="1"/>
    <xf numFmtId="0" fontId="3" fillId="2" borderId="1" xfId="0" applyFont="1" applyFill="1" applyBorder="1" applyAlignment="1">
      <alignment vertical="center" wrapText="1"/>
    </xf>
    <xf numFmtId="0" fontId="0" fillId="0" borderId="24" xfId="0" applyBorder="1"/>
    <xf numFmtId="0" fontId="3" fillId="2" borderId="26" xfId="0" applyFont="1" applyFill="1" applyBorder="1"/>
    <xf numFmtId="0" fontId="3" fillId="2" borderId="27" xfId="0" applyFont="1" applyFill="1" applyBorder="1"/>
    <xf numFmtId="0" fontId="5" fillId="5" borderId="25" xfId="0" applyFont="1" applyFill="1" applyBorder="1"/>
    <xf numFmtId="0" fontId="5" fillId="5" borderId="16" xfId="0" applyFont="1" applyFill="1" applyBorder="1" applyAlignment="1">
      <alignment horizontal="left"/>
    </xf>
    <xf numFmtId="10" fontId="0" fillId="0" borderId="16" xfId="1" applyNumberFormat="1" applyFont="1" applyBorder="1" applyAlignment="1">
      <alignment horizontal="right"/>
    </xf>
    <xf numFmtId="0" fontId="25" fillId="5" borderId="25" xfId="0" applyFont="1" applyFill="1" applyBorder="1"/>
    <xf numFmtId="170" fontId="0" fillId="0" borderId="24" xfId="0" applyNumberFormat="1" applyBorder="1"/>
    <xf numFmtId="170" fontId="0" fillId="0" borderId="28" xfId="0" applyNumberFormat="1" applyBorder="1"/>
    <xf numFmtId="170" fontId="5" fillId="5" borderId="24" xfId="0" applyNumberFormat="1" applyFont="1" applyFill="1" applyBorder="1"/>
    <xf numFmtId="170" fontId="0" fillId="0" borderId="24" xfId="0" applyNumberFormat="1" applyBorder="1" applyAlignment="1">
      <alignment horizontal="center" vertical="center"/>
    </xf>
    <xf numFmtId="170" fontId="2" fillId="4" borderId="4" xfId="8" applyNumberFormat="1" applyFill="1" applyBorder="1" applyAlignment="1">
      <alignment horizontal="center"/>
    </xf>
    <xf numFmtId="170" fontId="2" fillId="4" borderId="1" xfId="2" applyNumberFormat="1" applyFill="1" applyBorder="1" applyAlignment="1">
      <alignment horizontal="center"/>
    </xf>
    <xf numFmtId="170" fontId="5" fillId="5" borderId="21" xfId="2" applyNumberFormat="1" applyFont="1" applyFill="1" applyBorder="1" applyAlignment="1">
      <alignment horizontal="center"/>
    </xf>
    <xf numFmtId="170" fontId="5" fillId="5" borderId="17" xfId="2" applyNumberFormat="1" applyFont="1" applyFill="1" applyBorder="1" applyAlignment="1">
      <alignment horizontal="center"/>
    </xf>
    <xf numFmtId="170" fontId="18" fillId="4" borderId="1" xfId="5" applyNumberFormat="1" applyFont="1" applyFill="1" applyBorder="1" applyAlignment="1">
      <alignment horizontal="center"/>
    </xf>
    <xf numFmtId="170" fontId="0" fillId="4" borderId="1" xfId="0" applyNumberForma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170" fontId="0" fillId="0" borderId="21" xfId="2" applyNumberFormat="1" applyFont="1" applyBorder="1" applyAlignment="1">
      <alignment horizontal="center"/>
    </xf>
    <xf numFmtId="170" fontId="0" fillId="0" borderId="1" xfId="2" applyNumberFormat="1" applyFont="1" applyBorder="1" applyAlignment="1">
      <alignment horizontal="center"/>
    </xf>
    <xf numFmtId="170" fontId="5" fillId="5" borderId="1" xfId="2" applyNumberFormat="1" applyFont="1" applyFill="1" applyBorder="1" applyAlignment="1">
      <alignment horizontal="center"/>
    </xf>
    <xf numFmtId="170" fontId="0" fillId="0" borderId="1" xfId="2" applyNumberFormat="1" applyFont="1" applyBorder="1"/>
    <xf numFmtId="170" fontId="0" fillId="0" borderId="16" xfId="2" applyNumberFormat="1" applyFont="1" applyBorder="1"/>
    <xf numFmtId="170" fontId="5" fillId="5" borderId="1" xfId="0" applyNumberFormat="1" applyFont="1" applyFill="1" applyBorder="1"/>
    <xf numFmtId="170" fontId="1" fillId="0" borderId="1" xfId="0" applyNumberFormat="1" applyFont="1" applyBorder="1" applyAlignment="1">
      <alignment horizontal="center"/>
    </xf>
    <xf numFmtId="170" fontId="9" fillId="5" borderId="1" xfId="0" applyNumberFormat="1" applyFont="1" applyFill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1" fillId="0" borderId="0" xfId="0" applyNumberFormat="1" applyFont="1" applyAlignment="1">
      <alignment horizontal="left"/>
    </xf>
    <xf numFmtId="171" fontId="0" fillId="0" borderId="24" xfId="0" applyNumberFormat="1" applyBorder="1"/>
    <xf numFmtId="2" fontId="3" fillId="2" borderId="24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5" borderId="28" xfId="0" applyFont="1" applyFill="1" applyBorder="1"/>
    <xf numFmtId="9" fontId="0" fillId="0" borderId="28" xfId="0" applyNumberFormat="1" applyBorder="1"/>
    <xf numFmtId="9" fontId="0" fillId="0" borderId="29" xfId="0" applyNumberFormat="1" applyBorder="1"/>
    <xf numFmtId="0" fontId="23" fillId="5" borderId="28" xfId="0" applyFont="1" applyFill="1" applyBorder="1"/>
    <xf numFmtId="10" fontId="0" fillId="0" borderId="28" xfId="0" applyNumberFormat="1" applyBorder="1"/>
    <xf numFmtId="168" fontId="0" fillId="0" borderId="4" xfId="0" applyNumberFormat="1" applyBorder="1"/>
    <xf numFmtId="0" fontId="5" fillId="5" borderId="16" xfId="0" applyFont="1" applyFill="1" applyBorder="1"/>
    <xf numFmtId="0" fontId="0" fillId="0" borderId="4" xfId="0" applyBorder="1" applyAlignment="1">
      <alignment horizontal="center"/>
    </xf>
    <xf numFmtId="0" fontId="5" fillId="5" borderId="24" xfId="0" applyFont="1" applyFill="1" applyBorder="1" applyAlignment="1">
      <alignment horizontal="center"/>
    </xf>
    <xf numFmtId="0" fontId="5" fillId="5" borderId="28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7" borderId="1" xfId="4" applyFont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2">
    <cellStyle name="40% - Accent3" xfId="8" builtinId="39"/>
    <cellStyle name="Accent1" xfId="4" builtinId="29"/>
    <cellStyle name="Check Cell" xfId="6" builtinId="23"/>
    <cellStyle name="Comma" xfId="2" builtinId="3"/>
    <cellStyle name="Currency" xfId="9" builtinId="4"/>
    <cellStyle name="Good" xfId="3" builtinId="26"/>
    <cellStyle name="Normal" xfId="0" builtinId="0"/>
    <cellStyle name="Normal 2" xfId="11" xr:uid="{12FC5FD7-9899-4E63-B60E-3F56338D4D63}"/>
    <cellStyle name="Normal_Income Statements" xfId="10" xr:uid="{9AD468FC-50EE-4528-91B4-C4E8B896A310}"/>
    <cellStyle name="Output" xfId="5" builtinId="21"/>
    <cellStyle name="Percent" xfId="1" builtinId="5"/>
    <cellStyle name="Total" xfId="7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88900</xdr:rowOff>
    </xdr:from>
    <xdr:to>
      <xdr:col>12</xdr:col>
      <xdr:colOff>520700</xdr:colOff>
      <xdr:row>27</xdr:row>
      <xdr:rowOff>136534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F6B9A4-7A8B-CAC3-97F1-22B8A9524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88900"/>
          <a:ext cx="7772400" cy="53625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203200</xdr:colOff>
      <xdr:row>1</xdr:row>
      <xdr:rowOff>82550</xdr:rowOff>
    </xdr:from>
    <xdr:to>
      <xdr:col>13</xdr:col>
      <xdr:colOff>50800</xdr:colOff>
      <xdr:row>20</xdr:row>
      <xdr:rowOff>22485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87C700-7F6B-436C-FCA2-A0CBBC5E3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279400"/>
          <a:ext cx="7772400" cy="3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215900</xdr:colOff>
      <xdr:row>21</xdr:row>
      <xdr:rowOff>19050</xdr:rowOff>
    </xdr:from>
    <xdr:to>
      <xdr:col>13</xdr:col>
      <xdr:colOff>63500</xdr:colOff>
      <xdr:row>26</xdr:row>
      <xdr:rowOff>178662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0138DB4-14BA-EDE6-03A1-2BF437B75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4152900"/>
          <a:ext cx="7772400" cy="11438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139700</xdr:rowOff>
    </xdr:from>
    <xdr:to>
      <xdr:col>13</xdr:col>
      <xdr:colOff>76200</xdr:colOff>
      <xdr:row>31</xdr:row>
      <xdr:rowOff>135694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D242A78-C454-81C0-66AA-577522304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9700"/>
          <a:ext cx="7772400" cy="60983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69850</xdr:rowOff>
    </xdr:from>
    <xdr:to>
      <xdr:col>8</xdr:col>
      <xdr:colOff>600923</xdr:colOff>
      <xdr:row>5</xdr:row>
      <xdr:rowOff>25027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17EFC36D-16FF-422C-9CB0-52826F686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1900" y="266700"/>
          <a:ext cx="6830273" cy="742577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10</xdr:col>
      <xdr:colOff>148590</xdr:colOff>
      <xdr:row>7</xdr:row>
      <xdr:rowOff>183515</xdr:rowOff>
    </xdr:to>
    <xdr:pic>
      <xdr:nvPicPr>
        <xdr:cNvPr id="2" name="Immagine 2">
          <a:extLst>
            <a:ext uri="{FF2B5EF4-FFF2-40B4-BE49-F238E27FC236}">
              <a16:creationId xmlns:a16="http://schemas.microsoft.com/office/drawing/2014/main" id="{66CA21BF-61B4-41A9-AF62-C6B42DB15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96850"/>
          <a:ext cx="5323840" cy="13646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187036</xdr:colOff>
      <xdr:row>19</xdr:row>
      <xdr:rowOff>104169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00B4D3-5891-B564-D695-D2A03306E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0218"/>
          <a:ext cx="7772400" cy="31810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11</xdr:col>
      <xdr:colOff>503763</xdr:colOff>
      <xdr:row>7</xdr:row>
      <xdr:rowOff>88130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AD1A94A-E380-465B-AAC8-B2433ED27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540327"/>
          <a:ext cx="7183386" cy="808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C1D9-B315-4C6C-B0AC-589FE88E3A1E}">
  <sheetPr codeName="Sheet1"/>
  <dimension ref="A1"/>
  <sheetViews>
    <sheetView topLeftCell="A2" zoomScale="110" zoomScaleNormal="110" workbookViewId="0">
      <selection activeCell="M4" sqref="M4"/>
    </sheetView>
  </sheetViews>
  <sheetFormatPr defaultColWidth="8.88671875" defaultRowHeight="15.6" x14ac:dyDescent="0.3"/>
  <cols>
    <col min="1" max="16384" width="8.886718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BD7C-B5D0-4277-AB2A-FAAC1BDEFC0B}">
  <sheetPr codeName="Sheet2"/>
  <dimension ref="A1"/>
  <sheetViews>
    <sheetView zoomScale="120" zoomScaleNormal="120" workbookViewId="0">
      <selection activeCell="P11" sqref="P11"/>
    </sheetView>
  </sheetViews>
  <sheetFormatPr defaultColWidth="8.88671875" defaultRowHeight="15.6" x14ac:dyDescent="0.3"/>
  <cols>
    <col min="1" max="16384" width="8.88671875" style="1"/>
  </cols>
  <sheetData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2853-D765-4473-B5D3-C9AB4D8F21EB}">
  <sheetPr codeName="Sheet3"/>
  <dimension ref="A1"/>
  <sheetViews>
    <sheetView topLeftCell="A9" zoomScale="120" zoomScaleNormal="120" workbookViewId="0">
      <selection activeCell="N10" sqref="N10"/>
    </sheetView>
  </sheetViews>
  <sheetFormatPr defaultColWidth="8.88671875" defaultRowHeight="15.6" x14ac:dyDescent="0.3"/>
  <cols>
    <col min="1" max="16384" width="8.88671875" style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A651D-3D8F-47F4-AA3E-5967A103D54B}">
  <sheetPr codeName="Sheet4"/>
  <dimension ref="A2:H20"/>
  <sheetViews>
    <sheetView showGridLines="0" zoomScale="130" zoomScaleNormal="130" workbookViewId="0">
      <selection activeCell="C12" sqref="C12"/>
    </sheetView>
  </sheetViews>
  <sheetFormatPr defaultRowHeight="14.4" x14ac:dyDescent="0.3"/>
  <cols>
    <col min="1" max="1" width="44.88671875" bestFit="1" customWidth="1"/>
    <col min="2" max="2" width="16.88671875" bestFit="1" customWidth="1"/>
    <col min="3" max="3" width="27.88671875" bestFit="1" customWidth="1"/>
    <col min="4" max="4" width="15.109375" bestFit="1" customWidth="1"/>
    <col min="5" max="5" width="46.6640625" bestFit="1" customWidth="1"/>
    <col min="6" max="6" width="15.88671875" bestFit="1" customWidth="1"/>
    <col min="7" max="8" width="14.6640625" bestFit="1" customWidth="1"/>
    <col min="9" max="9" width="12.6640625" bestFit="1" customWidth="1"/>
  </cols>
  <sheetData>
    <row r="2" spans="1:8" x14ac:dyDescent="0.3">
      <c r="A2" s="167" t="s">
        <v>0</v>
      </c>
      <c r="B2" s="168"/>
      <c r="C2" s="169"/>
      <c r="E2" s="171" t="s">
        <v>1</v>
      </c>
      <c r="F2" s="171"/>
    </row>
    <row r="3" spans="1:8" x14ac:dyDescent="0.3">
      <c r="A3" s="32" t="s">
        <v>2</v>
      </c>
      <c r="B3" s="65">
        <v>4.181E-2</v>
      </c>
      <c r="C3" s="18" t="s">
        <v>3</v>
      </c>
      <c r="E3" s="33" t="s">
        <v>17</v>
      </c>
      <c r="F3" s="66">
        <f>WACC!E12</f>
        <v>9.0598562972105001E-2</v>
      </c>
    </row>
    <row r="4" spans="1:8" x14ac:dyDescent="0.3">
      <c r="A4" s="31" t="s">
        <v>5</v>
      </c>
      <c r="B4" s="19">
        <v>4.24E-2</v>
      </c>
      <c r="C4" s="9" t="s">
        <v>6</v>
      </c>
      <c r="E4" s="33" t="s">
        <v>20</v>
      </c>
      <c r="F4" s="152">
        <f>Beta!C10</f>
        <v>1.0010744609454716</v>
      </c>
    </row>
    <row r="5" spans="1:8" x14ac:dyDescent="0.3">
      <c r="A5" s="32" t="s">
        <v>8</v>
      </c>
      <c r="B5" s="64">
        <v>0.91</v>
      </c>
      <c r="C5" s="18" t="s">
        <v>6</v>
      </c>
      <c r="E5" s="33" t="s">
        <v>21</v>
      </c>
      <c r="F5" s="95">
        <f>'Cost of Equity'!D13</f>
        <v>9.8042996488661438E-2</v>
      </c>
    </row>
    <row r="6" spans="1:8" x14ac:dyDescent="0.3">
      <c r="A6" s="33" t="s">
        <v>10</v>
      </c>
      <c r="B6" s="94">
        <v>442895</v>
      </c>
      <c r="C6" s="9" t="s">
        <v>11</v>
      </c>
      <c r="E6" s="33" t="s">
        <v>15</v>
      </c>
      <c r="F6" s="36">
        <f>B13/B8</f>
        <v>0.13709839070521099</v>
      </c>
    </row>
    <row r="7" spans="1:8" x14ac:dyDescent="0.3">
      <c r="A7" s="33" t="s">
        <v>13</v>
      </c>
      <c r="B7" s="9">
        <v>241.98</v>
      </c>
      <c r="C7" s="9" t="s">
        <v>14</v>
      </c>
      <c r="E7" s="32" t="s">
        <v>19</v>
      </c>
      <c r="F7" s="151">
        <f>'Cost of Debt'!AE13</f>
        <v>14670558.38267526</v>
      </c>
    </row>
    <row r="8" spans="1:8" x14ac:dyDescent="0.3">
      <c r="A8" s="33" t="s">
        <v>16</v>
      </c>
      <c r="B8" s="144">
        <f>B7*B6</f>
        <v>107171732.09999999</v>
      </c>
      <c r="C8" s="24"/>
      <c r="E8" s="32" t="s">
        <v>4</v>
      </c>
      <c r="F8" s="64">
        <f>B15/B17</f>
        <v>7.8819275679343708</v>
      </c>
    </row>
    <row r="9" spans="1:8" x14ac:dyDescent="0.3">
      <c r="A9" s="33" t="s">
        <v>18</v>
      </c>
      <c r="B9" s="25">
        <v>0.27</v>
      </c>
      <c r="C9" s="9" t="s">
        <v>6</v>
      </c>
      <c r="E9" s="31" t="s">
        <v>7</v>
      </c>
      <c r="F9" s="36">
        <f>Data!B3+'Cost of Debt'!AB9</f>
        <v>4.9610000000000001E-2</v>
      </c>
    </row>
    <row r="10" spans="1:8" x14ac:dyDescent="0.3">
      <c r="E10" s="32" t="s">
        <v>9</v>
      </c>
      <c r="F10" s="65">
        <f>'Cost of Debt'!AH3</f>
        <v>3.6215299999999999E-2</v>
      </c>
    </row>
    <row r="11" spans="1:8" x14ac:dyDescent="0.3">
      <c r="B11" s="63"/>
      <c r="E11" s="33" t="s">
        <v>12</v>
      </c>
      <c r="F11" s="66">
        <v>7.7999999999999996E-3</v>
      </c>
    </row>
    <row r="12" spans="1:8" x14ac:dyDescent="0.3">
      <c r="A12" s="170" t="s">
        <v>22</v>
      </c>
      <c r="B12" s="170"/>
    </row>
    <row r="13" spans="1:8" x14ac:dyDescent="0.3">
      <c r="A13" s="35" t="s">
        <v>23</v>
      </c>
      <c r="B13" s="146">
        <v>14693072</v>
      </c>
    </row>
    <row r="14" spans="1:8" ht="14.4" customHeight="1" x14ac:dyDescent="0.3">
      <c r="A14" s="31" t="s">
        <v>24</v>
      </c>
      <c r="B14" s="146">
        <v>6194509</v>
      </c>
      <c r="E14" s="85" t="s">
        <v>25</v>
      </c>
      <c r="F14" s="85"/>
      <c r="G14" s="85"/>
      <c r="H14" s="85"/>
    </row>
    <row r="15" spans="1:8" ht="14.4" customHeight="1" x14ac:dyDescent="0.3">
      <c r="A15" s="31" t="s">
        <v>26</v>
      </c>
      <c r="B15" s="99">
        <f>SUM(E18:H18)</f>
        <v>5714697</v>
      </c>
      <c r="E15" s="85" t="s">
        <v>27</v>
      </c>
      <c r="F15" s="85"/>
      <c r="G15" s="85"/>
      <c r="H15" s="85"/>
    </row>
    <row r="16" spans="1:8" ht="14.4" customHeight="1" x14ac:dyDescent="0.3">
      <c r="A16" s="31" t="s">
        <v>28</v>
      </c>
      <c r="B16" s="146">
        <v>765620</v>
      </c>
      <c r="E16" s="82" t="s">
        <v>29</v>
      </c>
      <c r="F16" s="82" t="s">
        <v>30</v>
      </c>
      <c r="G16" s="82" t="s">
        <v>31</v>
      </c>
      <c r="H16" s="82" t="s">
        <v>32</v>
      </c>
    </row>
    <row r="17" spans="1:8" ht="14.4" customHeight="1" x14ac:dyDescent="0.3">
      <c r="A17" s="31" t="s">
        <v>33</v>
      </c>
      <c r="B17" s="99">
        <f>SUM(E19:H19)</f>
        <v>725038</v>
      </c>
      <c r="C17" s="27"/>
      <c r="E17" s="83">
        <v>2021</v>
      </c>
      <c r="F17" s="83">
        <v>2022</v>
      </c>
      <c r="G17" s="83">
        <v>2022</v>
      </c>
      <c r="H17" s="83">
        <v>2022</v>
      </c>
    </row>
    <row r="18" spans="1:8" ht="15" customHeight="1" x14ac:dyDescent="0.3">
      <c r="D18" s="84" t="s">
        <v>34</v>
      </c>
      <c r="E18" s="146">
        <v>631770</v>
      </c>
      <c r="F18" s="146">
        <v>1971626</v>
      </c>
      <c r="G18" s="146">
        <v>1578283</v>
      </c>
      <c r="H18" s="146">
        <v>1533018</v>
      </c>
    </row>
    <row r="19" spans="1:8" ht="15" customHeight="1" x14ac:dyDescent="0.3">
      <c r="A19" s="28"/>
      <c r="D19" s="84" t="s">
        <v>35</v>
      </c>
      <c r="E19" s="146">
        <v>189429</v>
      </c>
      <c r="F19" s="146">
        <v>187579</v>
      </c>
      <c r="G19" s="146">
        <v>175455</v>
      </c>
      <c r="H19" s="146">
        <v>172575</v>
      </c>
    </row>
    <row r="20" spans="1:8" x14ac:dyDescent="0.3">
      <c r="A20" s="28"/>
    </row>
  </sheetData>
  <mergeCells count="3">
    <mergeCell ref="A2:C2"/>
    <mergeCell ref="A12:B12"/>
    <mergeCell ref="E2:F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D5760-AB8F-42CD-B8CD-43334A3D0EAE}">
  <sheetPr codeName="Sheet5"/>
  <dimension ref="B3:J24"/>
  <sheetViews>
    <sheetView zoomScale="120" zoomScaleNormal="120" workbookViewId="0">
      <selection activeCell="D18" sqref="D18"/>
    </sheetView>
  </sheetViews>
  <sheetFormatPr defaultColWidth="8.88671875" defaultRowHeight="15.6" x14ac:dyDescent="0.3"/>
  <cols>
    <col min="1" max="1" width="8.88671875" style="1"/>
    <col min="2" max="2" width="30.33203125" style="1" bestFit="1" customWidth="1"/>
    <col min="3" max="3" width="51" style="1" bestFit="1" customWidth="1"/>
    <col min="4" max="4" width="15.33203125" style="1" bestFit="1" customWidth="1"/>
    <col min="5" max="5" width="11.88671875" style="1" customWidth="1"/>
    <col min="6" max="6" width="14.5546875" style="1" bestFit="1" customWidth="1"/>
    <col min="7" max="7" width="15.33203125" style="1" bestFit="1" customWidth="1"/>
    <col min="8" max="8" width="16.88671875" style="1" bestFit="1" customWidth="1"/>
    <col min="9" max="9" width="8.5546875" style="1" bestFit="1" customWidth="1"/>
    <col min="10" max="10" width="27.44140625" style="1" bestFit="1" customWidth="1"/>
    <col min="11" max="11" width="21.5546875" style="1" bestFit="1" customWidth="1"/>
    <col min="12" max="16384" width="8.88671875" style="1"/>
  </cols>
  <sheetData>
    <row r="3" spans="2:10" x14ac:dyDescent="0.3">
      <c r="B3" s="89" t="s">
        <v>36</v>
      </c>
      <c r="C3" s="89" t="s">
        <v>37</v>
      </c>
    </row>
    <row r="4" spans="2:10" x14ac:dyDescent="0.3">
      <c r="B4" s="20" t="s">
        <v>38</v>
      </c>
      <c r="C4" s="16">
        <v>0</v>
      </c>
    </row>
    <row r="5" spans="2:10" x14ac:dyDescent="0.3">
      <c r="B5" s="20" t="s">
        <v>39</v>
      </c>
      <c r="C5" s="15">
        <v>8.3000000000000001E-3</v>
      </c>
      <c r="J5"/>
    </row>
    <row r="6" spans="2:10" x14ac:dyDescent="0.3">
      <c r="B6" s="20" t="s">
        <v>40</v>
      </c>
      <c r="C6" s="15">
        <v>2.1100000000000001E-2</v>
      </c>
      <c r="J6"/>
    </row>
    <row r="7" spans="2:10" x14ac:dyDescent="0.3">
      <c r="B7" s="20" t="s">
        <v>41</v>
      </c>
      <c r="C7" s="15">
        <v>1.6E-2</v>
      </c>
      <c r="J7"/>
    </row>
    <row r="8" spans="2:10" x14ac:dyDescent="0.3">
      <c r="B8" s="20" t="s">
        <v>42</v>
      </c>
      <c r="C8" s="15">
        <v>5.2499999999999998E-2</v>
      </c>
      <c r="J8"/>
    </row>
    <row r="9" spans="2:10" x14ac:dyDescent="0.3">
      <c r="B9" s="20" t="s">
        <v>43</v>
      </c>
      <c r="C9" s="15">
        <v>3.7900000000000003E-2</v>
      </c>
      <c r="E9"/>
      <c r="G9"/>
      <c r="H9"/>
      <c r="I9"/>
      <c r="J9"/>
    </row>
    <row r="10" spans="2:10" x14ac:dyDescent="0.3">
      <c r="B10" s="20" t="s">
        <v>44</v>
      </c>
      <c r="C10" s="15">
        <v>1.04E-2</v>
      </c>
      <c r="E10"/>
      <c r="G10"/>
      <c r="H10"/>
      <c r="I10"/>
      <c r="J10"/>
    </row>
    <row r="11" spans="2:10" x14ac:dyDescent="0.3">
      <c r="B11" s="20" t="s">
        <v>45</v>
      </c>
      <c r="C11" s="16">
        <v>0</v>
      </c>
      <c r="E11"/>
      <c r="G11"/>
      <c r="H11"/>
      <c r="I11"/>
      <c r="J11"/>
    </row>
    <row r="12" spans="2:10" x14ac:dyDescent="0.3">
      <c r="B12"/>
      <c r="C12"/>
      <c r="E12"/>
      <c r="G12"/>
      <c r="H12"/>
      <c r="I12"/>
      <c r="J12"/>
    </row>
    <row r="13" spans="2:10" x14ac:dyDescent="0.3">
      <c r="E13"/>
      <c r="G13"/>
      <c r="H13"/>
      <c r="I13"/>
      <c r="J13"/>
    </row>
    <row r="14" spans="2:10" x14ac:dyDescent="0.3">
      <c r="B14" s="17"/>
      <c r="E14"/>
      <c r="G14"/>
      <c r="H14"/>
      <c r="I14"/>
      <c r="J14"/>
    </row>
    <row r="15" spans="2:10" x14ac:dyDescent="0.3">
      <c r="B15" s="89" t="s">
        <v>46</v>
      </c>
      <c r="C15" s="89" t="s">
        <v>47</v>
      </c>
      <c r="D15" s="89" t="s">
        <v>48</v>
      </c>
      <c r="E15" s="89" t="s">
        <v>49</v>
      </c>
      <c r="F15" s="89" t="s">
        <v>50</v>
      </c>
    </row>
    <row r="16" spans="2:10" x14ac:dyDescent="0.3">
      <c r="B16" s="20" t="s">
        <v>38</v>
      </c>
      <c r="C16" s="149">
        <v>12972.1</v>
      </c>
      <c r="D16" s="21">
        <f>C16/$C$20</f>
        <v>0.43950133855111229</v>
      </c>
      <c r="E16" s="22">
        <f>C4</f>
        <v>0</v>
      </c>
      <c r="F16" s="22">
        <f t="shared" ref="F16:F19" si="0">D16*E16</f>
        <v>0</v>
      </c>
    </row>
    <row r="17" spans="2:8" x14ac:dyDescent="0.3">
      <c r="B17" s="20" t="s">
        <v>51</v>
      </c>
      <c r="C17" s="149">
        <v>9699.8189999999995</v>
      </c>
      <c r="D17" s="21">
        <f>C17/$C$20</f>
        <v>0.32863479576965265</v>
      </c>
      <c r="E17" s="23">
        <f>AVERAGE(C5:C8)</f>
        <v>2.4475E-2</v>
      </c>
      <c r="F17" s="23">
        <f t="shared" si="0"/>
        <v>8.0433366264622483E-3</v>
      </c>
    </row>
    <row r="18" spans="2:8" x14ac:dyDescent="0.3">
      <c r="B18" s="20" t="s">
        <v>52</v>
      </c>
      <c r="C18" s="149">
        <v>3576.9760000000001</v>
      </c>
      <c r="D18" s="21">
        <f>C18/$C$20</f>
        <v>0.12118976418353261</v>
      </c>
      <c r="E18" s="23">
        <f>C9</f>
        <v>3.7900000000000003E-2</v>
      </c>
      <c r="F18" s="23">
        <f t="shared" si="0"/>
        <v>4.5930920625558867E-3</v>
      </c>
    </row>
    <row r="19" spans="2:8" x14ac:dyDescent="0.3">
      <c r="B19" s="20" t="s">
        <v>53</v>
      </c>
      <c r="C19" s="149">
        <v>3266.6010000000001</v>
      </c>
      <c r="D19" s="21">
        <f>C19/$C$20</f>
        <v>0.11067410149570246</v>
      </c>
      <c r="E19" s="23">
        <f>C10</f>
        <v>1.04E-2</v>
      </c>
      <c r="F19" s="23">
        <f t="shared" si="0"/>
        <v>1.1510106555553056E-3</v>
      </c>
      <c r="G19" s="10"/>
      <c r="H19" s="10"/>
    </row>
    <row r="20" spans="2:8" x14ac:dyDescent="0.3">
      <c r="B20" s="20" t="s">
        <v>54</v>
      </c>
      <c r="C20" s="150">
        <f>SUM(C16:C19)</f>
        <v>29515.495999999999</v>
      </c>
      <c r="D20" s="24"/>
      <c r="E20" s="24"/>
      <c r="F20" s="90">
        <f>SUM(F16:F19)</f>
        <v>1.3787439344573441E-2</v>
      </c>
      <c r="G20" s="14"/>
      <c r="H20" s="14"/>
    </row>
    <row r="21" spans="2:8" x14ac:dyDescent="0.3">
      <c r="B21" s="11"/>
      <c r="E21" s="12"/>
      <c r="F21" s="13"/>
      <c r="G21" s="6"/>
      <c r="H21" s="14"/>
    </row>
    <row r="22" spans="2:8" x14ac:dyDescent="0.3">
      <c r="B22" s="11"/>
      <c r="E22" s="12"/>
      <c r="F22" s="13"/>
      <c r="G22" s="14"/>
      <c r="H22" s="14"/>
    </row>
    <row r="23" spans="2:8" x14ac:dyDescent="0.3">
      <c r="B23" s="11"/>
      <c r="E23" s="12"/>
      <c r="F23" s="13"/>
      <c r="G23" s="14"/>
      <c r="H23" s="14"/>
    </row>
    <row r="24" spans="2:8" x14ac:dyDescent="0.3">
      <c r="B24" s="10"/>
      <c r="E24" s="12"/>
      <c r="H24" s="1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8BA1-610B-4A56-872B-23A03A3E45E1}">
  <sheetPr codeName="Sheet6"/>
  <dimension ref="B10:E28"/>
  <sheetViews>
    <sheetView zoomScale="120" zoomScaleNormal="120" workbookViewId="0">
      <selection activeCell="C10" sqref="C10"/>
    </sheetView>
  </sheetViews>
  <sheetFormatPr defaultColWidth="8.88671875" defaultRowHeight="15.6" x14ac:dyDescent="0.3"/>
  <cols>
    <col min="1" max="1" width="11.33203125" style="1" bestFit="1" customWidth="1"/>
    <col min="2" max="2" width="27.109375" style="1" bestFit="1" customWidth="1"/>
    <col min="3" max="3" width="9.33203125" style="1" bestFit="1" customWidth="1"/>
    <col min="4" max="5" width="15.33203125" style="1" bestFit="1" customWidth="1"/>
    <col min="6" max="6" width="12.88671875" style="1" bestFit="1" customWidth="1"/>
    <col min="7" max="8" width="8.88671875" style="1"/>
    <col min="9" max="10" width="16.6640625" style="1" bestFit="1" customWidth="1"/>
    <col min="11" max="16384" width="8.88671875" style="1"/>
  </cols>
  <sheetData>
    <row r="10" spans="2:5" x14ac:dyDescent="0.3">
      <c r="B10" s="30" t="s">
        <v>55</v>
      </c>
      <c r="C10" s="153">
        <f>Data!B5*(1+(Data!F6)*(1-Data!B9))</f>
        <v>1.0010744609454716</v>
      </c>
    </row>
    <row r="11" spans="2:5" x14ac:dyDescent="0.3">
      <c r="D11" s="5"/>
      <c r="E11" s="4"/>
    </row>
    <row r="13" spans="2:5" x14ac:dyDescent="0.3">
      <c r="C13" s="29"/>
    </row>
    <row r="16" spans="2:5" x14ac:dyDescent="0.3">
      <c r="B16"/>
    </row>
    <row r="17" spans="2:4" x14ac:dyDescent="0.3">
      <c r="B17" s="2"/>
      <c r="D17" s="3"/>
    </row>
    <row r="21" spans="2:4" x14ac:dyDescent="0.3">
      <c r="B21"/>
      <c r="C21"/>
    </row>
    <row r="27" spans="2:4" x14ac:dyDescent="0.3">
      <c r="B27"/>
      <c r="C27"/>
    </row>
    <row r="28" spans="2:4" x14ac:dyDescent="0.3">
      <c r="C28"/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C293-2580-4EC5-B90D-3D08E0B79B7C}">
  <sheetPr codeName="Sheet7"/>
  <dimension ref="C11:G14"/>
  <sheetViews>
    <sheetView zoomScale="120" zoomScaleNormal="120" workbookViewId="0">
      <selection activeCell="I18" sqref="I18"/>
    </sheetView>
  </sheetViews>
  <sheetFormatPr defaultColWidth="8.88671875" defaultRowHeight="15.6" x14ac:dyDescent="0.3"/>
  <cols>
    <col min="1" max="2" width="8.88671875" style="1"/>
    <col min="3" max="3" width="21.6640625" style="1" bestFit="1" customWidth="1"/>
    <col min="4" max="4" width="13.33203125" style="1" bestFit="1" customWidth="1"/>
    <col min="5" max="6" width="8.88671875" style="1"/>
    <col min="7" max="7" width="10.88671875" style="1" bestFit="1" customWidth="1"/>
    <col min="8" max="8" width="8.88671875" style="1"/>
    <col min="9" max="9" width="15.6640625" style="1" bestFit="1" customWidth="1"/>
    <col min="10" max="16384" width="8.88671875" style="1"/>
  </cols>
  <sheetData>
    <row r="11" spans="3:7" x14ac:dyDescent="0.3">
      <c r="C11"/>
      <c r="D11"/>
      <c r="F11"/>
      <c r="G11"/>
    </row>
    <row r="12" spans="3:7" x14ac:dyDescent="0.3">
      <c r="C12"/>
      <c r="D12"/>
    </row>
    <row r="13" spans="3:7" x14ac:dyDescent="0.3">
      <c r="C13" s="30" t="s">
        <v>56</v>
      </c>
      <c r="D13" s="62">
        <f>Data!B3 + Data!F4*Data!B4 + CRP!F20</f>
        <v>9.8042996488661438E-2</v>
      </c>
    </row>
    <row r="14" spans="3:7" x14ac:dyDescent="0.3">
      <c r="C14"/>
      <c r="D14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A57C-A944-4BA6-8CFC-CB8B310F0D2B}">
  <sheetPr codeName="Sheet8"/>
  <dimension ref="C3:AH22"/>
  <sheetViews>
    <sheetView topLeftCell="Y1" zoomScale="110" zoomScaleNormal="110" workbookViewId="0">
      <selection activeCell="AH3" sqref="AH3"/>
    </sheetView>
  </sheetViews>
  <sheetFormatPr defaultRowHeight="14.4" x14ac:dyDescent="0.3"/>
  <cols>
    <col min="3" max="3" width="12.6640625" bestFit="1" customWidth="1"/>
    <col min="16" max="16" width="9" bestFit="1" customWidth="1"/>
    <col min="17" max="17" width="22.88671875" bestFit="1" customWidth="1"/>
    <col min="18" max="18" width="7" bestFit="1" customWidth="1"/>
    <col min="19" max="19" width="8.33203125" bestFit="1" customWidth="1"/>
    <col min="20" max="20" width="15.6640625" bestFit="1" customWidth="1"/>
    <col min="21" max="21" width="17.44140625" bestFit="1" customWidth="1"/>
    <col min="22" max="22" width="7" bestFit="1" customWidth="1"/>
    <col min="23" max="23" width="20.44140625" bestFit="1" customWidth="1"/>
    <col min="24" max="24" width="8.33203125" bestFit="1" customWidth="1"/>
    <col min="25" max="25" width="17.6640625" bestFit="1" customWidth="1"/>
    <col min="26" max="26" width="15.44140625" customWidth="1"/>
    <col min="27" max="27" width="14.5546875" customWidth="1"/>
    <col min="28" max="28" width="19.6640625" customWidth="1"/>
    <col min="29" max="29" width="13.88671875" bestFit="1" customWidth="1"/>
    <col min="30" max="30" width="19.6640625" bestFit="1" customWidth="1"/>
    <col min="31" max="31" width="20.33203125" bestFit="1" customWidth="1"/>
    <col min="32" max="32" width="19" bestFit="1" customWidth="1"/>
    <col min="33" max="33" width="21.109375" bestFit="1" customWidth="1"/>
    <col min="34" max="34" width="11" bestFit="1" customWidth="1"/>
    <col min="35" max="35" width="11.88671875" bestFit="1" customWidth="1"/>
    <col min="36" max="36" width="24.33203125" customWidth="1"/>
    <col min="38" max="38" width="28.6640625" customWidth="1"/>
    <col min="40" max="40" width="6.6640625" bestFit="1" customWidth="1"/>
    <col min="42" max="42" width="11.88671875" bestFit="1" customWidth="1"/>
  </cols>
  <sheetData>
    <row r="3" spans="3:34" x14ac:dyDescent="0.3">
      <c r="C3" s="8"/>
      <c r="P3" s="165" t="s">
        <v>57</v>
      </c>
      <c r="Q3" s="165"/>
      <c r="R3" s="165"/>
      <c r="S3" s="165"/>
      <c r="T3" s="165"/>
      <c r="AD3" s="58" t="s">
        <v>58</v>
      </c>
      <c r="AE3" s="96">
        <f>Data!B3+AB9</f>
        <v>4.9610000000000001E-2</v>
      </c>
      <c r="AG3" s="58" t="s">
        <v>59</v>
      </c>
      <c r="AH3" s="60">
        <f>AE3*(1-Data!B9)</f>
        <v>3.6215299999999999E-2</v>
      </c>
    </row>
    <row r="4" spans="3:34" ht="15.6" x14ac:dyDescent="0.3">
      <c r="P4" s="139" t="s">
        <v>60</v>
      </c>
      <c r="Q4" s="139" t="s">
        <v>61</v>
      </c>
      <c r="R4" s="139" t="s">
        <v>62</v>
      </c>
      <c r="S4" s="139" t="s">
        <v>63</v>
      </c>
      <c r="T4" s="139" t="s">
        <v>64</v>
      </c>
      <c r="W4" s="85" t="s">
        <v>65</v>
      </c>
      <c r="Y4" s="172" t="s">
        <v>66</v>
      </c>
      <c r="Z4" s="172"/>
      <c r="AA4" s="172"/>
      <c r="AB4" s="172"/>
    </row>
    <row r="5" spans="3:34" x14ac:dyDescent="0.3">
      <c r="O5" s="34"/>
      <c r="P5" s="140">
        <v>2022</v>
      </c>
      <c r="Q5" s="143">
        <v>700</v>
      </c>
      <c r="R5" s="140">
        <v>1</v>
      </c>
      <c r="S5" s="141">
        <f>Q5/$Q$13</f>
        <v>4.5205037132709076E-2</v>
      </c>
      <c r="T5" s="142">
        <f>R5*S5</f>
        <v>4.5205037132709076E-2</v>
      </c>
      <c r="W5" s="92">
        <f>Data!B15/Data!B17</f>
        <v>7.8819275679343708</v>
      </c>
      <c r="Y5" s="173" t="s">
        <v>67</v>
      </c>
      <c r="Z5" s="173"/>
      <c r="AA5" s="173"/>
      <c r="AB5" s="173"/>
      <c r="AD5" s="7" t="s">
        <v>68</v>
      </c>
      <c r="AE5" s="146">
        <f>Data!$B$17*(1+$AE$3)^-1</f>
        <v>690768.95227751264</v>
      </c>
    </row>
    <row r="6" spans="3:34" x14ac:dyDescent="0.3">
      <c r="C6" s="27"/>
      <c r="P6" s="9" t="s">
        <v>69</v>
      </c>
      <c r="Q6" s="144">
        <v>400</v>
      </c>
      <c r="R6" s="9">
        <v>3</v>
      </c>
      <c r="S6" s="36">
        <f t="shared" ref="S6:S12" si="0">Q6/$Q$13</f>
        <v>2.5831449790119469E-2</v>
      </c>
      <c r="T6" s="37">
        <f t="shared" ref="T6:T12" si="1">R6*S6</f>
        <v>7.7494349370358401E-2</v>
      </c>
      <c r="Y6" s="173" t="s">
        <v>70</v>
      </c>
      <c r="Z6" s="173"/>
      <c r="AA6" s="173"/>
      <c r="AB6" s="173"/>
      <c r="AD6" s="7" t="s">
        <v>71</v>
      </c>
      <c r="AE6" s="146">
        <f>Data!$B$17*(1+$AE$3)^-2</f>
        <v>658119.63708188059</v>
      </c>
    </row>
    <row r="7" spans="3:34" ht="15" thickBot="1" x14ac:dyDescent="0.35">
      <c r="P7" s="9" t="s">
        <v>72</v>
      </c>
      <c r="Q7" s="144">
        <f>800+535+500</f>
        <v>1835</v>
      </c>
      <c r="R7" s="9">
        <v>4</v>
      </c>
      <c r="S7" s="36">
        <f t="shared" si="0"/>
        <v>0.11850177591217308</v>
      </c>
      <c r="T7" s="37">
        <f t="shared" si="1"/>
        <v>0.47400710364869231</v>
      </c>
      <c r="Y7" s="39" t="s">
        <v>73</v>
      </c>
      <c r="Z7" s="40" t="s">
        <v>74</v>
      </c>
      <c r="AA7" s="40" t="s">
        <v>75</v>
      </c>
      <c r="AB7" s="41" t="s">
        <v>76</v>
      </c>
      <c r="AD7" s="7" t="s">
        <v>77</v>
      </c>
      <c r="AE7" s="146">
        <f>Data!$B$17*(1+$AE$3)^-3</f>
        <v>627013.49747228075</v>
      </c>
    </row>
    <row r="8" spans="3:34" x14ac:dyDescent="0.3">
      <c r="P8" s="9" t="s">
        <v>78</v>
      </c>
      <c r="Q8" s="144">
        <v>1000</v>
      </c>
      <c r="R8" s="9">
        <v>5</v>
      </c>
      <c r="S8" s="36">
        <f t="shared" si="0"/>
        <v>6.4578624475298677E-2</v>
      </c>
      <c r="T8" s="37">
        <f t="shared" si="1"/>
        <v>0.32289312237649337</v>
      </c>
      <c r="Y8" s="42" t="s">
        <v>79</v>
      </c>
      <c r="Z8" s="43">
        <v>100000</v>
      </c>
      <c r="AA8" s="43" t="s">
        <v>80</v>
      </c>
      <c r="AB8" s="44">
        <v>6.3E-3</v>
      </c>
      <c r="AD8" s="7" t="s">
        <v>81</v>
      </c>
      <c r="AE8" s="146">
        <f>Data!$B$17*(1+$AE$3)^-4</f>
        <v>597377.59498507145</v>
      </c>
    </row>
    <row r="9" spans="3:34" x14ac:dyDescent="0.3">
      <c r="P9" s="9" t="s">
        <v>82</v>
      </c>
      <c r="Q9" s="144">
        <v>1480</v>
      </c>
      <c r="R9" s="9">
        <v>6</v>
      </c>
      <c r="S9" s="36">
        <f t="shared" si="0"/>
        <v>9.557636422344204E-2</v>
      </c>
      <c r="T9" s="37">
        <f t="shared" si="1"/>
        <v>0.57345818534065218</v>
      </c>
      <c r="Y9" s="53" t="s">
        <v>83</v>
      </c>
      <c r="Z9" s="54">
        <v>8499999</v>
      </c>
      <c r="AA9" s="55" t="s">
        <v>84</v>
      </c>
      <c r="AB9" s="56">
        <v>7.7999999999999996E-3</v>
      </c>
      <c r="AD9" s="7" t="s">
        <v>85</v>
      </c>
      <c r="AE9" s="146">
        <f>Data!$B$17*(1+$AE$3)^-5</f>
        <v>569142.43860583589</v>
      </c>
    </row>
    <row r="10" spans="3:34" x14ac:dyDescent="0.3">
      <c r="P10" s="9" t="s">
        <v>86</v>
      </c>
      <c r="Q10" s="144">
        <f>1600+1900</f>
        <v>3500</v>
      </c>
      <c r="R10" s="9">
        <v>7</v>
      </c>
      <c r="S10" s="36">
        <f t="shared" si="0"/>
        <v>0.22602518566354537</v>
      </c>
      <c r="T10" s="37">
        <f t="shared" si="1"/>
        <v>1.5821762996448177</v>
      </c>
      <c r="Y10" s="45" t="s">
        <v>87</v>
      </c>
      <c r="Z10" s="46">
        <v>6499999</v>
      </c>
      <c r="AA10" s="38" t="s">
        <v>88</v>
      </c>
      <c r="AB10" s="47">
        <v>9.7999999999999997E-3</v>
      </c>
      <c r="AD10" s="7" t="s">
        <v>89</v>
      </c>
      <c r="AE10" s="146">
        <f>Data!$B$17*(1+$AE$3)^-6</f>
        <v>542241.82182509312</v>
      </c>
    </row>
    <row r="11" spans="3:34" x14ac:dyDescent="0.3">
      <c r="P11" s="9" t="s">
        <v>90</v>
      </c>
      <c r="Q11" s="144">
        <f>1252+800+1366+900</f>
        <v>4318</v>
      </c>
      <c r="R11" s="9">
        <v>8</v>
      </c>
      <c r="S11" s="36">
        <f t="shared" si="0"/>
        <v>0.27885050048433968</v>
      </c>
      <c r="T11" s="37">
        <f t="shared" si="1"/>
        <v>2.2308040038747174</v>
      </c>
      <c r="Y11" s="45" t="s">
        <v>91</v>
      </c>
      <c r="Z11" s="46">
        <v>5499999</v>
      </c>
      <c r="AA11" s="38" t="s">
        <v>92</v>
      </c>
      <c r="AB11" s="48">
        <v>1.0800000000000001E-2</v>
      </c>
      <c r="AD11" s="61" t="s">
        <v>93</v>
      </c>
      <c r="AE11" s="146">
        <f>Data!$B$17*(1+$AE$3)^-7</f>
        <v>516612.66739559756</v>
      </c>
    </row>
    <row r="12" spans="3:34" x14ac:dyDescent="0.3">
      <c r="P12" s="9" t="s">
        <v>94</v>
      </c>
      <c r="Q12" s="144">
        <f>1252+1000</f>
        <v>2252</v>
      </c>
      <c r="R12" s="9">
        <v>9</v>
      </c>
      <c r="S12" s="36">
        <f t="shared" si="0"/>
        <v>0.14543106231837261</v>
      </c>
      <c r="T12" s="37">
        <f t="shared" si="1"/>
        <v>1.3088795608653534</v>
      </c>
      <c r="Y12" s="45">
        <v>3</v>
      </c>
      <c r="Z12" s="46">
        <v>4249999</v>
      </c>
      <c r="AA12" s="38" t="s">
        <v>95</v>
      </c>
      <c r="AB12" s="49">
        <v>1.22</v>
      </c>
      <c r="AD12" s="7" t="s">
        <v>93</v>
      </c>
      <c r="AE12" s="147">
        <f>Data!B13*(1+AE3)^-7</f>
        <v>10469281.773031989</v>
      </c>
    </row>
    <row r="13" spans="3:34" x14ac:dyDescent="0.3">
      <c r="Q13" s="145">
        <f>SUM(Q5:Q12)</f>
        <v>15485</v>
      </c>
      <c r="T13" s="91">
        <f>SUM(T5:T12)</f>
        <v>6.6149176622537942</v>
      </c>
      <c r="U13" s="57"/>
      <c r="Y13" s="45" t="s">
        <v>96</v>
      </c>
      <c r="Z13" s="46">
        <v>2999999</v>
      </c>
      <c r="AA13" s="38" t="s">
        <v>97</v>
      </c>
      <c r="AB13" s="48">
        <v>1.5599999999999999E-2</v>
      </c>
      <c r="AE13" s="148">
        <f>SUM(AE5:AE12)</f>
        <v>14670558.38267526</v>
      </c>
      <c r="AF13" s="59" t="s">
        <v>98</v>
      </c>
    </row>
    <row r="14" spans="3:34" x14ac:dyDescent="0.3">
      <c r="Y14" s="45" t="s">
        <v>99</v>
      </c>
      <c r="Z14" s="46">
        <v>2249999</v>
      </c>
      <c r="AA14" s="38" t="s">
        <v>100</v>
      </c>
      <c r="AB14" s="48">
        <v>0.02</v>
      </c>
    </row>
    <row r="15" spans="3:34" x14ac:dyDescent="0.3">
      <c r="Y15" s="45">
        <v>2</v>
      </c>
      <c r="Z15" s="46">
        <v>22499999</v>
      </c>
      <c r="AA15" s="38" t="s">
        <v>101</v>
      </c>
      <c r="AB15" s="48">
        <v>2.4E-2</v>
      </c>
    </row>
    <row r="16" spans="3:34" x14ac:dyDescent="0.3">
      <c r="Y16" s="45" t="s">
        <v>102</v>
      </c>
      <c r="Z16" s="46">
        <v>1999999</v>
      </c>
      <c r="AA16" s="38" t="s">
        <v>103</v>
      </c>
      <c r="AB16" s="49">
        <v>3.51</v>
      </c>
    </row>
    <row r="17" spans="25:28" x14ac:dyDescent="0.3">
      <c r="Y17" s="45" t="s">
        <v>104</v>
      </c>
      <c r="Z17" s="46">
        <v>1749999</v>
      </c>
      <c r="AA17" s="38" t="s">
        <v>105</v>
      </c>
      <c r="AB17" s="48">
        <v>4.2099999999999999E-2</v>
      </c>
    </row>
    <row r="18" spans="25:28" x14ac:dyDescent="0.3">
      <c r="Y18" s="45" t="s">
        <v>106</v>
      </c>
      <c r="Z18" s="46">
        <v>1499999</v>
      </c>
      <c r="AA18" s="38" t="s">
        <v>107</v>
      </c>
      <c r="AB18" s="48">
        <v>5.1499999999999997E-2</v>
      </c>
    </row>
    <row r="19" spans="25:28" x14ac:dyDescent="0.3">
      <c r="Y19" s="45" t="s">
        <v>108</v>
      </c>
      <c r="Z19" s="46">
        <v>1249999</v>
      </c>
      <c r="AA19" s="38" t="s">
        <v>109</v>
      </c>
      <c r="AB19" s="48">
        <v>8.2000000000000003E-2</v>
      </c>
    </row>
    <row r="20" spans="25:28" x14ac:dyDescent="0.3">
      <c r="Y20" s="45" t="s">
        <v>110</v>
      </c>
      <c r="Z20" s="38" t="s">
        <v>111</v>
      </c>
      <c r="AA20" s="38" t="s">
        <v>112</v>
      </c>
      <c r="AB20" s="48">
        <v>8.6400000000000005E-2</v>
      </c>
    </row>
    <row r="21" spans="25:28" x14ac:dyDescent="0.3">
      <c r="Y21" s="45" t="s">
        <v>113</v>
      </c>
      <c r="Z21" s="38" t="s">
        <v>114</v>
      </c>
      <c r="AA21" s="38" t="s">
        <v>115</v>
      </c>
      <c r="AB21" s="48">
        <v>0.1134</v>
      </c>
    </row>
    <row r="22" spans="25:28" ht="15" thickBot="1" x14ac:dyDescent="0.35">
      <c r="Y22" s="50">
        <v>-100000</v>
      </c>
      <c r="Z22" s="51" t="s">
        <v>116</v>
      </c>
      <c r="AA22" s="51" t="s">
        <v>117</v>
      </c>
      <c r="AB22" s="52">
        <v>0.1512</v>
      </c>
    </row>
  </sheetData>
  <mergeCells count="4">
    <mergeCell ref="P3:T3"/>
    <mergeCell ref="Y4:AB4"/>
    <mergeCell ref="Y5:AB5"/>
    <mergeCell ref="Y6:AB6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75C6-6439-42EB-B9F1-474B7138B80F}">
  <sheetPr codeName="Sheet9"/>
  <dimension ref="D12:E18"/>
  <sheetViews>
    <sheetView topLeftCell="D1" zoomScale="110" zoomScaleNormal="120" workbookViewId="0">
      <selection activeCell="E18" sqref="E18"/>
    </sheetView>
  </sheetViews>
  <sheetFormatPr defaultRowHeight="14.4" x14ac:dyDescent="0.3"/>
  <cols>
    <col min="3" max="3" width="18.44140625" bestFit="1" customWidth="1"/>
    <col min="4" max="4" width="25.5546875" bestFit="1" customWidth="1"/>
    <col min="5" max="5" width="18.5546875" bestFit="1" customWidth="1"/>
  </cols>
  <sheetData>
    <row r="12" spans="4:5" x14ac:dyDescent="0.3">
      <c r="D12" s="75" t="s">
        <v>118</v>
      </c>
      <c r="E12" s="86">
        <f>('Cost of Equity'!D13*WACC!E17)+(Data!F10*WACC!E18)</f>
        <v>9.0598562972105001E-2</v>
      </c>
    </row>
    <row r="17" spans="4:5" x14ac:dyDescent="0.3">
      <c r="D17" s="76" t="s">
        <v>119</v>
      </c>
      <c r="E17" s="81">
        <f>Data!B8/(Data!B8+'Cost of Debt'!AE13)</f>
        <v>0.87959387233645892</v>
      </c>
    </row>
    <row r="18" spans="4:5" x14ac:dyDescent="0.3">
      <c r="D18" s="76" t="s">
        <v>120</v>
      </c>
      <c r="E18" s="81">
        <f>'Cost of Debt'!AE13/('Cost of Debt'!AE13+Data!B8)</f>
        <v>0.12040612766354114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90CD9-95A1-41D3-A201-EBD35B107584}">
  <dimension ref="B3:I19"/>
  <sheetViews>
    <sheetView zoomScale="120" zoomScaleNormal="120" workbookViewId="0">
      <selection activeCell="E1" activeCellId="1" sqref="D1:D1048576 E1:E1048576"/>
    </sheetView>
  </sheetViews>
  <sheetFormatPr defaultRowHeight="14.4" x14ac:dyDescent="0.3"/>
  <cols>
    <col min="1" max="1" width="5.44140625" bestFit="1" customWidth="1"/>
    <col min="2" max="2" width="20.33203125" bestFit="1" customWidth="1"/>
    <col min="3" max="3" width="13.21875" bestFit="1" customWidth="1"/>
    <col min="4" max="4" width="9.109375" hidden="1" customWidth="1"/>
    <col min="5" max="5" width="19.88671875" hidden="1" customWidth="1"/>
    <col min="6" max="6" width="15.88671875" bestFit="1" customWidth="1"/>
    <col min="7" max="7" width="14.88671875" bestFit="1" customWidth="1"/>
    <col min="8" max="8" width="10.33203125" customWidth="1"/>
    <col min="9" max="9" width="14.44140625" customWidth="1"/>
  </cols>
  <sheetData>
    <row r="3" spans="2:9" ht="28.8" x14ac:dyDescent="0.3">
      <c r="B3" s="78" t="s">
        <v>62</v>
      </c>
      <c r="C3" s="78" t="s">
        <v>193</v>
      </c>
      <c r="D3" s="174" t="s">
        <v>121</v>
      </c>
      <c r="E3" s="174"/>
      <c r="F3" s="174" t="s">
        <v>122</v>
      </c>
      <c r="G3" s="174"/>
      <c r="H3" s="174" t="s">
        <v>123</v>
      </c>
      <c r="I3" s="174"/>
    </row>
    <row r="4" spans="2:9" x14ac:dyDescent="0.3">
      <c r="B4" s="88">
        <v>2021</v>
      </c>
      <c r="C4" s="133">
        <v>2274000</v>
      </c>
      <c r="D4" s="77">
        <v>0.2</v>
      </c>
      <c r="E4" s="134">
        <f>C4*D4</f>
        <v>454800</v>
      </c>
      <c r="F4" s="77">
        <v>0.8</v>
      </c>
      <c r="G4" s="134">
        <f>C4*F4</f>
        <v>1819200</v>
      </c>
      <c r="H4" s="77">
        <v>0.2</v>
      </c>
      <c r="I4" s="134">
        <f>C4*H4</f>
        <v>454800</v>
      </c>
    </row>
    <row r="5" spans="2:9" x14ac:dyDescent="0.3">
      <c r="B5" s="88">
        <v>2020</v>
      </c>
      <c r="C5" s="133">
        <v>1830000</v>
      </c>
      <c r="D5" s="77">
        <v>0.4</v>
      </c>
      <c r="E5" s="134">
        <f>C5*D5</f>
        <v>732000</v>
      </c>
      <c r="F5" s="77">
        <v>0.6</v>
      </c>
      <c r="G5" s="134">
        <f>C5*F5</f>
        <v>1098000</v>
      </c>
      <c r="H5" s="77">
        <v>0.2</v>
      </c>
      <c r="I5" s="134">
        <f>C5*H5</f>
        <v>366000</v>
      </c>
    </row>
    <row r="6" spans="2:9" x14ac:dyDescent="0.3">
      <c r="B6" s="88">
        <v>2019</v>
      </c>
      <c r="C6" s="133">
        <v>1545000</v>
      </c>
      <c r="D6" s="77">
        <v>0.60000000000000009</v>
      </c>
      <c r="E6" s="134">
        <f>C6*D6</f>
        <v>927000.00000000012</v>
      </c>
      <c r="F6" s="77">
        <v>0.4</v>
      </c>
      <c r="G6" s="134">
        <f>C6*F6</f>
        <v>618000</v>
      </c>
      <c r="H6" s="77">
        <v>0.2</v>
      </c>
      <c r="I6" s="134">
        <f>C6*H6</f>
        <v>309000</v>
      </c>
    </row>
    <row r="7" spans="2:9" x14ac:dyDescent="0.3">
      <c r="B7" s="88">
        <v>2018</v>
      </c>
      <c r="C7" s="133">
        <v>1222000</v>
      </c>
      <c r="D7" s="77">
        <v>0.8</v>
      </c>
      <c r="E7" s="134">
        <f>C7*D7</f>
        <v>977600</v>
      </c>
      <c r="F7" s="77">
        <v>0.2</v>
      </c>
      <c r="G7" s="134">
        <f>C7*F7</f>
        <v>244400</v>
      </c>
      <c r="H7" s="77">
        <v>0.2</v>
      </c>
      <c r="I7" s="134">
        <f>C7*H7</f>
        <v>244400</v>
      </c>
    </row>
    <row r="8" spans="2:9" x14ac:dyDescent="0.3">
      <c r="B8" s="88">
        <v>2017</v>
      </c>
      <c r="C8" s="133">
        <v>953.7</v>
      </c>
      <c r="D8" s="77">
        <v>1</v>
      </c>
      <c r="E8" s="134">
        <f>C8*D8</f>
        <v>953.7</v>
      </c>
      <c r="F8" s="77">
        <v>0</v>
      </c>
      <c r="G8" s="134">
        <f>C8*F8</f>
        <v>0</v>
      </c>
      <c r="H8" s="77">
        <v>0.2</v>
      </c>
      <c r="I8" s="134">
        <f>C8*H8</f>
        <v>190.74</v>
      </c>
    </row>
    <row r="9" spans="2:9" x14ac:dyDescent="0.3">
      <c r="B9" s="67"/>
      <c r="C9" s="67"/>
      <c r="D9" s="67"/>
      <c r="E9" s="67"/>
      <c r="F9" s="67"/>
      <c r="G9" s="135">
        <f>SUM(G4:G8)</f>
        <v>3779600</v>
      </c>
      <c r="H9" s="68"/>
      <c r="I9" s="136">
        <f>SUM(I4:I8)</f>
        <v>1374390.74</v>
      </c>
    </row>
    <row r="10" spans="2:9" ht="28.8" x14ac:dyDescent="0.3">
      <c r="G10" s="121" t="s">
        <v>124</v>
      </c>
      <c r="I10" s="121" t="s">
        <v>125</v>
      </c>
    </row>
    <row r="13" spans="2:9" ht="28.8" x14ac:dyDescent="0.3">
      <c r="C13" s="87" t="s">
        <v>126</v>
      </c>
      <c r="F13" s="87" t="s">
        <v>126</v>
      </c>
    </row>
    <row r="14" spans="2:9" x14ac:dyDescent="0.3">
      <c r="B14" s="80" t="s">
        <v>127</v>
      </c>
      <c r="C14" s="137">
        <f>Data!B14</f>
        <v>6194509</v>
      </c>
      <c r="E14" s="69" t="s">
        <v>128</v>
      </c>
      <c r="F14" s="99">
        <f>C14+$C$4-$I$9</f>
        <v>7094118.2599999998</v>
      </c>
    </row>
    <row r="15" spans="2:9" x14ac:dyDescent="0.3">
      <c r="B15" s="76" t="s">
        <v>129</v>
      </c>
      <c r="C15" s="137">
        <v>5116228</v>
      </c>
      <c r="E15" s="79" t="s">
        <v>130</v>
      </c>
      <c r="F15" s="99">
        <f>C15+$C$4-$I$9</f>
        <v>6015837.2599999998</v>
      </c>
    </row>
    <row r="16" spans="2:9" x14ac:dyDescent="0.3">
      <c r="B16" s="80" t="s">
        <v>131</v>
      </c>
      <c r="C16" s="137">
        <v>15849248</v>
      </c>
      <c r="E16" s="70" t="s">
        <v>132</v>
      </c>
      <c r="F16" s="99">
        <f>C16+$G$9</f>
        <v>19628848</v>
      </c>
    </row>
    <row r="17" spans="2:6" x14ac:dyDescent="0.3">
      <c r="B17" s="76" t="s">
        <v>133</v>
      </c>
      <c r="C17" s="138">
        <f>C16+Data!B13</f>
        <v>30542320</v>
      </c>
      <c r="E17" s="58" t="s">
        <v>134</v>
      </c>
      <c r="F17" s="99">
        <f>C17+$G$9</f>
        <v>34321920</v>
      </c>
    </row>
    <row r="19" spans="2:6" x14ac:dyDescent="0.3">
      <c r="D19" s="71"/>
    </row>
  </sheetData>
  <mergeCells count="3">
    <mergeCell ref="D3:E3"/>
    <mergeCell ref="F3:G3"/>
    <mergeCell ref="H3:I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DE31-99E8-4E29-BC92-9602D876D182}">
  <dimension ref="B3:K15"/>
  <sheetViews>
    <sheetView zoomScale="120" zoomScaleNormal="120" workbookViewId="0">
      <selection activeCell="C7" sqref="C7"/>
    </sheetView>
  </sheetViews>
  <sheetFormatPr defaultRowHeight="14.4" x14ac:dyDescent="0.3"/>
  <cols>
    <col min="2" max="2" width="23.6640625" bestFit="1" customWidth="1"/>
    <col min="3" max="3" width="23.33203125" bestFit="1" customWidth="1"/>
    <col min="6" max="6" width="14.88671875" bestFit="1" customWidth="1"/>
    <col min="7" max="8" width="11.33203125" bestFit="1" customWidth="1"/>
    <col min="9" max="12" width="10.33203125" bestFit="1" customWidth="1"/>
  </cols>
  <sheetData>
    <row r="3" spans="2:11" x14ac:dyDescent="0.3">
      <c r="F3" s="171" t="s">
        <v>135</v>
      </c>
      <c r="G3" s="171"/>
      <c r="H3" s="171"/>
      <c r="I3" s="171"/>
      <c r="J3" s="171"/>
    </row>
    <row r="4" spans="2:11" x14ac:dyDescent="0.3">
      <c r="C4" s="84" t="s">
        <v>136</v>
      </c>
      <c r="F4" s="175" t="s">
        <v>137</v>
      </c>
      <c r="G4" s="175"/>
      <c r="H4" s="175"/>
      <c r="I4" s="175"/>
      <c r="J4" s="175"/>
    </row>
    <row r="5" spans="2:11" x14ac:dyDescent="0.3">
      <c r="B5" s="84" t="s">
        <v>138</v>
      </c>
      <c r="C5" s="99">
        <f>F7</f>
        <v>524585</v>
      </c>
      <c r="F5" s="177"/>
      <c r="G5" s="177"/>
      <c r="H5" s="177"/>
      <c r="I5" s="177"/>
      <c r="J5" s="177"/>
    </row>
    <row r="6" spans="2:11" x14ac:dyDescent="0.3">
      <c r="B6" s="108" t="s">
        <v>139</v>
      </c>
      <c r="C6" s="109">
        <f>F11</f>
        <v>208412</v>
      </c>
      <c r="F6" s="84">
        <v>2021</v>
      </c>
      <c r="G6" s="84">
        <v>2020</v>
      </c>
      <c r="H6" s="84">
        <v>2019</v>
      </c>
      <c r="I6" s="84">
        <v>2018</v>
      </c>
      <c r="J6" s="84">
        <v>2017</v>
      </c>
    </row>
    <row r="7" spans="2:11" x14ac:dyDescent="0.3">
      <c r="B7" s="98" t="s">
        <v>140</v>
      </c>
      <c r="C7" s="107">
        <f>C5-C6</f>
        <v>316173</v>
      </c>
      <c r="F7" s="93">
        <v>524585</v>
      </c>
      <c r="G7" s="93">
        <v>497923</v>
      </c>
      <c r="H7" s="93">
        <v>253035</v>
      </c>
      <c r="I7" s="93">
        <v>173946</v>
      </c>
      <c r="J7" s="93">
        <v>173302</v>
      </c>
    </row>
    <row r="8" spans="2:11" x14ac:dyDescent="0.3">
      <c r="B8" s="110" t="s">
        <v>141</v>
      </c>
      <c r="C8" s="111">
        <f>'R&amp;D'!C4</f>
        <v>2274000</v>
      </c>
      <c r="F8" s="175" t="s">
        <v>142</v>
      </c>
      <c r="G8" s="175"/>
      <c r="H8" s="175"/>
      <c r="I8" s="175"/>
      <c r="J8" s="175"/>
      <c r="K8" t="s">
        <v>143</v>
      </c>
    </row>
    <row r="9" spans="2:11" x14ac:dyDescent="0.3">
      <c r="B9" s="84" t="s">
        <v>144</v>
      </c>
      <c r="C9" s="99">
        <f>'R&amp;D'!I9</f>
        <v>1374390.74</v>
      </c>
      <c r="F9" s="176"/>
      <c r="G9" s="176"/>
      <c r="H9" s="176"/>
      <c r="I9" s="176"/>
      <c r="J9" s="176"/>
    </row>
    <row r="10" spans="2:11" x14ac:dyDescent="0.3">
      <c r="B10" s="84" t="s">
        <v>145</v>
      </c>
      <c r="C10" s="99">
        <f>AVERAGE(F15:J15)</f>
        <v>157669.79999999999</v>
      </c>
      <c r="F10" s="84">
        <v>2021</v>
      </c>
      <c r="G10" s="84">
        <v>2020</v>
      </c>
      <c r="H10" s="84">
        <v>2019</v>
      </c>
      <c r="I10" s="84">
        <v>2018</v>
      </c>
      <c r="J10" s="84">
        <v>2017</v>
      </c>
    </row>
    <row r="11" spans="2:11" ht="19.95" customHeight="1" x14ac:dyDescent="0.3">
      <c r="B11" s="156" t="s">
        <v>146</v>
      </c>
      <c r="C11" s="99">
        <f>C7+C8-C9+C10</f>
        <v>1373452.06</v>
      </c>
      <c r="F11" s="26">
        <v>208412</v>
      </c>
      <c r="G11" s="26">
        <v>115710</v>
      </c>
      <c r="H11" s="26">
        <v>103579</v>
      </c>
      <c r="I11" s="26">
        <v>83157</v>
      </c>
      <c r="J11" s="26">
        <v>71911</v>
      </c>
    </row>
    <row r="12" spans="2:11" x14ac:dyDescent="0.3">
      <c r="F12" s="175" t="s">
        <v>147</v>
      </c>
      <c r="G12" s="175"/>
      <c r="H12" s="175"/>
      <c r="I12" s="175"/>
      <c r="J12" s="175"/>
    </row>
    <row r="13" spans="2:11" x14ac:dyDescent="0.3">
      <c r="F13" s="176"/>
      <c r="G13" s="176"/>
      <c r="H13" s="176"/>
      <c r="I13" s="176"/>
      <c r="J13" s="176"/>
    </row>
    <row r="14" spans="2:11" x14ac:dyDescent="0.3">
      <c r="F14" s="84">
        <v>2021</v>
      </c>
      <c r="G14" s="84">
        <v>2020</v>
      </c>
      <c r="H14" s="84">
        <v>2019</v>
      </c>
      <c r="I14" s="84">
        <v>2018</v>
      </c>
      <c r="J14" s="84">
        <v>2017</v>
      </c>
    </row>
    <row r="15" spans="2:11" x14ac:dyDescent="0.3">
      <c r="F15" s="93">
        <v>788349</v>
      </c>
      <c r="G15" s="24">
        <v>0</v>
      </c>
      <c r="H15" s="24">
        <v>0</v>
      </c>
      <c r="I15" s="24">
        <v>0</v>
      </c>
      <c r="J15" s="24">
        <v>0</v>
      </c>
    </row>
  </sheetData>
  <mergeCells count="4">
    <mergeCell ref="F3:J3"/>
    <mergeCell ref="F8:J9"/>
    <mergeCell ref="F4:J5"/>
    <mergeCell ref="F12:J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9051F-D728-41E4-B7D0-45302F8FC2E8}">
  <dimension ref="B3:H26"/>
  <sheetViews>
    <sheetView zoomScale="110" zoomScaleNormal="110" workbookViewId="0">
      <selection activeCell="B12" sqref="B12"/>
    </sheetView>
  </sheetViews>
  <sheetFormatPr defaultRowHeight="14.4" x14ac:dyDescent="0.3"/>
  <cols>
    <col min="2" max="2" width="31.5546875" bestFit="1" customWidth="1"/>
    <col min="3" max="3" width="13.6640625" bestFit="1" customWidth="1"/>
    <col min="4" max="7" width="12.109375" bestFit="1" customWidth="1"/>
    <col min="8" max="8" width="12" bestFit="1" customWidth="1"/>
    <col min="9" max="11" width="14.88671875" bestFit="1" customWidth="1"/>
    <col min="12" max="12" width="12.109375" bestFit="1" customWidth="1"/>
    <col min="13" max="13" width="67.44140625" bestFit="1" customWidth="1"/>
    <col min="14" max="15" width="14.88671875" bestFit="1" customWidth="1"/>
  </cols>
  <sheetData>
    <row r="3" spans="2:8" x14ac:dyDescent="0.3">
      <c r="B3" s="58" t="s">
        <v>148</v>
      </c>
      <c r="C3" s="7">
        <v>2021</v>
      </c>
      <c r="D3" s="7">
        <v>2020</v>
      </c>
      <c r="E3" s="7">
        <v>2019</v>
      </c>
      <c r="F3" s="7">
        <v>2018</v>
      </c>
      <c r="G3" s="7">
        <v>2017</v>
      </c>
      <c r="H3" s="7" t="s">
        <v>149</v>
      </c>
    </row>
    <row r="4" spans="2:8" x14ac:dyDescent="0.3">
      <c r="B4" s="79" t="s">
        <v>150</v>
      </c>
      <c r="C4" s="100">
        <v>0</v>
      </c>
      <c r="D4" s="100">
        <v>0</v>
      </c>
      <c r="E4" s="100">
        <v>0</v>
      </c>
      <c r="F4" s="100">
        <v>0</v>
      </c>
      <c r="G4" s="100">
        <v>0</v>
      </c>
      <c r="H4" s="100"/>
    </row>
    <row r="5" spans="2:8" x14ac:dyDescent="0.3">
      <c r="B5" s="79" t="s">
        <v>151</v>
      </c>
      <c r="C5" s="102">
        <v>804320</v>
      </c>
      <c r="D5" s="102">
        <v>610819</v>
      </c>
      <c r="E5" s="102">
        <v>454399</v>
      </c>
      <c r="F5" s="102">
        <v>362712</v>
      </c>
      <c r="G5" s="100">
        <v>0</v>
      </c>
      <c r="H5" s="97"/>
    </row>
    <row r="6" spans="2:8" x14ac:dyDescent="0.3">
      <c r="B6" s="79" t="s">
        <v>195</v>
      </c>
      <c r="C6" s="102">
        <v>145115</v>
      </c>
      <c r="D6" s="102">
        <v>-41605</v>
      </c>
      <c r="E6" s="102">
        <v>96063</v>
      </c>
      <c r="F6" s="102">
        <v>199198</v>
      </c>
      <c r="G6" s="102">
        <v>74559</v>
      </c>
      <c r="H6" s="97"/>
    </row>
    <row r="7" spans="2:8" x14ac:dyDescent="0.3">
      <c r="B7" s="79" t="s">
        <v>152</v>
      </c>
      <c r="C7" s="103">
        <f>C4+C5-C6</f>
        <v>659205</v>
      </c>
      <c r="D7" s="103">
        <f>D4+D5-D6</f>
        <v>652424</v>
      </c>
      <c r="E7" s="103">
        <f>E4+E5-E6</f>
        <v>358336</v>
      </c>
      <c r="F7" s="103">
        <f>F4+F5-F6</f>
        <v>163514</v>
      </c>
      <c r="G7" s="103">
        <f>G4+G5-G6</f>
        <v>-74559</v>
      </c>
      <c r="H7" s="97"/>
    </row>
    <row r="8" spans="2:8" x14ac:dyDescent="0.3">
      <c r="B8" s="79" t="s">
        <v>153</v>
      </c>
      <c r="C8" s="104">
        <v>29697844</v>
      </c>
      <c r="D8" s="104">
        <v>24996056</v>
      </c>
      <c r="E8" s="104">
        <v>20156447</v>
      </c>
      <c r="F8" s="104">
        <v>15794341</v>
      </c>
      <c r="G8" s="104">
        <v>11692713</v>
      </c>
      <c r="H8" s="97"/>
    </row>
    <row r="9" spans="2:8" x14ac:dyDescent="0.3">
      <c r="B9" s="58" t="s">
        <v>154</v>
      </c>
      <c r="C9" s="101">
        <f>C7/C8</f>
        <v>2.2197065888015306E-2</v>
      </c>
      <c r="D9" s="101">
        <f>D7/D8</f>
        <v>2.61010777060189E-2</v>
      </c>
      <c r="E9" s="101">
        <f>E7/E8</f>
        <v>1.7777736324263896E-2</v>
      </c>
      <c r="F9" s="101">
        <f>F7/F8</f>
        <v>1.0352695310301328E-2</v>
      </c>
      <c r="G9" s="101">
        <f>G7/G8</f>
        <v>-6.3765355396989557E-3</v>
      </c>
      <c r="H9" s="81">
        <f>AVERAGE(C9:G9)</f>
        <v>1.4010407937780097E-2</v>
      </c>
    </row>
    <row r="10" spans="2:8" x14ac:dyDescent="0.3">
      <c r="B10" s="79" t="s">
        <v>155</v>
      </c>
      <c r="C10" s="105">
        <f>C8*H9</f>
        <v>416078.90931255504</v>
      </c>
      <c r="D10" s="72"/>
      <c r="E10" s="72"/>
      <c r="F10" s="72"/>
      <c r="G10" s="72"/>
      <c r="H10" s="72"/>
    </row>
    <row r="13" spans="2:8" x14ac:dyDescent="0.3">
      <c r="F13" s="73"/>
      <c r="G13" s="73"/>
      <c r="H13" s="73"/>
    </row>
    <row r="26" spans="7:7" x14ac:dyDescent="0.3">
      <c r="G26" s="74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92CF-9BB5-49A4-8C71-973F626F33C1}">
  <dimension ref="C4:D11"/>
  <sheetViews>
    <sheetView zoomScale="110" zoomScaleNormal="110" workbookViewId="0">
      <selection activeCell="D9" sqref="D9"/>
    </sheetView>
  </sheetViews>
  <sheetFormatPr defaultRowHeight="14.4" x14ac:dyDescent="0.3"/>
  <cols>
    <col min="3" max="3" width="33.5546875" bestFit="1" customWidth="1"/>
    <col min="4" max="4" width="14.6640625" bestFit="1" customWidth="1"/>
  </cols>
  <sheetData>
    <row r="4" spans="3:4" x14ac:dyDescent="0.3">
      <c r="C4" s="58" t="s">
        <v>156</v>
      </c>
      <c r="D4" s="99">
        <f>'NON CASH NWC'!C10+CAPEX!C11</f>
        <v>1789530.9693125552</v>
      </c>
    </row>
    <row r="5" spans="3:4" x14ac:dyDescent="0.3">
      <c r="C5" s="58" t="s">
        <v>157</v>
      </c>
      <c r="D5" s="81">
        <f>D4/D8</f>
        <v>0.34555559928451601</v>
      </c>
    </row>
    <row r="6" spans="3:4" x14ac:dyDescent="0.3">
      <c r="C6" s="58" t="s">
        <v>158</v>
      </c>
      <c r="D6" s="99">
        <f>'R&amp;D'!F14</f>
        <v>7094118.2599999998</v>
      </c>
    </row>
    <row r="7" spans="3:4" x14ac:dyDescent="0.3">
      <c r="C7" s="58" t="s">
        <v>18</v>
      </c>
      <c r="D7" s="106">
        <f>Data!B9</f>
        <v>0.27</v>
      </c>
    </row>
    <row r="8" spans="3:4" x14ac:dyDescent="0.3">
      <c r="C8" s="163" t="s">
        <v>159</v>
      </c>
      <c r="D8" s="99">
        <f>D6*(1-D7)</f>
        <v>5178706.3297999995</v>
      </c>
    </row>
    <row r="9" spans="3:4" x14ac:dyDescent="0.3">
      <c r="C9" s="178" t="s">
        <v>160</v>
      </c>
      <c r="D9" s="162">
        <f>D8-D4</f>
        <v>3389175.3604874443</v>
      </c>
    </row>
    <row r="10" spans="3:4" x14ac:dyDescent="0.3">
      <c r="C10" s="178"/>
      <c r="D10" s="164" t="s">
        <v>161</v>
      </c>
    </row>
    <row r="11" spans="3:4" x14ac:dyDescent="0.3">
      <c r="C11" s="178"/>
      <c r="D11" s="162">
        <f>D8*(1-D5)</f>
        <v>3389175.3604874439</v>
      </c>
    </row>
  </sheetData>
  <mergeCells count="1">
    <mergeCell ref="C9:C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4291-687B-4990-8376-932139DD8DC4}">
  <dimension ref="B3:J32"/>
  <sheetViews>
    <sheetView tabSelected="1" zoomScale="104" zoomScaleNormal="110" workbookViewId="0">
      <selection activeCell="E9" sqref="E9"/>
    </sheetView>
  </sheetViews>
  <sheetFormatPr defaultRowHeight="14.4" x14ac:dyDescent="0.3"/>
  <cols>
    <col min="2" max="2" width="29.88671875" bestFit="1" customWidth="1"/>
    <col min="3" max="3" width="15.88671875" bestFit="1" customWidth="1"/>
    <col min="4" max="4" width="14.6640625" bestFit="1" customWidth="1"/>
    <col min="5" max="5" width="39.6640625" bestFit="1" customWidth="1"/>
    <col min="6" max="7" width="12.6640625" bestFit="1" customWidth="1"/>
    <col min="8" max="8" width="19.5546875" bestFit="1" customWidth="1"/>
    <col min="9" max="9" width="24.109375" bestFit="1" customWidth="1"/>
    <col min="10" max="11" width="11.6640625" bestFit="1" customWidth="1"/>
    <col min="12" max="12" width="10.88671875" bestFit="1" customWidth="1"/>
    <col min="13" max="13" width="12.88671875" bestFit="1" customWidth="1"/>
    <col min="14" max="14" width="11.6640625" bestFit="1" customWidth="1"/>
  </cols>
  <sheetData>
    <row r="3" spans="2:10" x14ac:dyDescent="0.3">
      <c r="B3" s="112" t="s">
        <v>159</v>
      </c>
      <c r="C3" s="129">
        <f>FCFF!D8</f>
        <v>5178706.3297999995</v>
      </c>
      <c r="E3" s="117" t="s">
        <v>162</v>
      </c>
      <c r="F3" s="129">
        <v>15849248</v>
      </c>
      <c r="H3" s="112" t="s">
        <v>163</v>
      </c>
      <c r="I3" s="129">
        <f>'NON CASH NWC'!C8</f>
        <v>29697844</v>
      </c>
    </row>
    <row r="4" spans="2:10" x14ac:dyDescent="0.3">
      <c r="B4" s="119" t="s">
        <v>163</v>
      </c>
      <c r="C4" s="129">
        <f>'NON CASH NWC'!C8</f>
        <v>29697844</v>
      </c>
      <c r="E4" s="117" t="s">
        <v>164</v>
      </c>
      <c r="F4" s="129">
        <f>Data!B13</f>
        <v>14693072</v>
      </c>
      <c r="H4" s="112" t="s">
        <v>165</v>
      </c>
      <c r="I4" s="129">
        <f>F3+F4-F5</f>
        <v>24514516</v>
      </c>
    </row>
    <row r="5" spans="2:10" x14ac:dyDescent="0.3">
      <c r="B5" s="115" t="s">
        <v>166</v>
      </c>
      <c r="C5" s="116">
        <f>C3/C4</f>
        <v>0.17437987517881767</v>
      </c>
      <c r="E5" s="117" t="s">
        <v>167</v>
      </c>
      <c r="F5" s="132">
        <v>6027804</v>
      </c>
      <c r="H5" s="113" t="s">
        <v>168</v>
      </c>
      <c r="I5" s="114">
        <f>I3/I4</f>
        <v>1.2114391326347214</v>
      </c>
    </row>
    <row r="6" spans="2:10" x14ac:dyDescent="0.3">
      <c r="E6" s="120" t="s">
        <v>124</v>
      </c>
      <c r="F6" s="129">
        <f>'R&amp;D'!G9</f>
        <v>3779600</v>
      </c>
    </row>
    <row r="8" spans="2:10" x14ac:dyDescent="0.3">
      <c r="B8" s="113" t="s">
        <v>169</v>
      </c>
      <c r="C8" s="114">
        <f>C5*I5</f>
        <v>0.21125060473557786</v>
      </c>
    </row>
    <row r="9" spans="2:10" x14ac:dyDescent="0.3">
      <c r="E9" s="157" t="s">
        <v>170</v>
      </c>
      <c r="F9" s="158">
        <f>C3/(F3+F4-F5+F6)</f>
        <v>0.18303121149994578</v>
      </c>
      <c r="H9" s="157" t="s">
        <v>157</v>
      </c>
      <c r="I9" s="159">
        <f>FCFF!D5</f>
        <v>0.34555559928451601</v>
      </c>
    </row>
    <row r="10" spans="2:10" ht="24.6" x14ac:dyDescent="0.55000000000000004">
      <c r="B10" s="160" t="s">
        <v>171</v>
      </c>
      <c r="C10" s="161">
        <f>F9*I9</f>
        <v>6.3247459977634757E-2</v>
      </c>
      <c r="E10" s="157" t="s">
        <v>196</v>
      </c>
      <c r="F10" s="23">
        <v>0.1123</v>
      </c>
      <c r="H10" s="157" t="s">
        <v>197</v>
      </c>
      <c r="I10" s="23">
        <v>4.0500000000000001E-2</v>
      </c>
    </row>
    <row r="11" spans="2:10" ht="24.6" x14ac:dyDescent="0.55000000000000004">
      <c r="B11" s="160" t="s">
        <v>198</v>
      </c>
      <c r="C11" s="23">
        <f>F10*I10</f>
        <v>4.5481499999999999E-3</v>
      </c>
    </row>
    <row r="12" spans="2:10" x14ac:dyDescent="0.3">
      <c r="I12" s="126" t="s">
        <v>172</v>
      </c>
      <c r="J12" s="127">
        <f>WACC!E12</f>
        <v>9.0598562972105001E-2</v>
      </c>
    </row>
    <row r="13" spans="2:10" x14ac:dyDescent="0.3">
      <c r="I13" s="113" t="s">
        <v>174</v>
      </c>
      <c r="J13" s="118">
        <f>Data!B3</f>
        <v>4.181E-2</v>
      </c>
    </row>
    <row r="14" spans="2:10" x14ac:dyDescent="0.3">
      <c r="B14" s="165" t="s">
        <v>173</v>
      </c>
      <c r="C14" s="166"/>
      <c r="D14" s="166"/>
      <c r="E14" s="166"/>
      <c r="F14" s="166"/>
      <c r="G14" s="166"/>
    </row>
    <row r="15" spans="2:10" x14ac:dyDescent="0.3">
      <c r="B15" s="123" t="s">
        <v>175</v>
      </c>
      <c r="C15" s="122">
        <v>1</v>
      </c>
      <c r="D15" s="122">
        <v>2</v>
      </c>
      <c r="E15" s="122">
        <v>3</v>
      </c>
      <c r="F15" s="122">
        <v>4</v>
      </c>
      <c r="G15" s="122">
        <v>5</v>
      </c>
    </row>
    <row r="16" spans="2:10" x14ac:dyDescent="0.3">
      <c r="B16" s="123" t="s">
        <v>176</v>
      </c>
      <c r="C16" s="118">
        <f>$C$10</f>
        <v>6.3247459977634757E-2</v>
      </c>
      <c r="D16" s="118">
        <f t="shared" ref="D16:G16" si="0">$C$10</f>
        <v>6.3247459977634757E-2</v>
      </c>
      <c r="E16" s="118">
        <f t="shared" si="0"/>
        <v>6.3247459977634757E-2</v>
      </c>
      <c r="F16" s="118">
        <f t="shared" si="0"/>
        <v>6.3247459977634757E-2</v>
      </c>
      <c r="G16" s="118">
        <f t="shared" si="0"/>
        <v>6.3247459977634757E-2</v>
      </c>
    </row>
    <row r="17" spans="2:7" x14ac:dyDescent="0.3">
      <c r="B17" s="123" t="s">
        <v>159</v>
      </c>
      <c r="C17" s="129">
        <f>C3*(1+C16)</f>
        <v>5506246.3511299482</v>
      </c>
      <c r="D17" s="129">
        <f>C17*(1+D16)</f>
        <v>5854502.4468500363</v>
      </c>
      <c r="E17" s="129">
        <f>D17*(1+E16)</f>
        <v>6224784.8560461486</v>
      </c>
      <c r="F17" s="129">
        <f>E17*(1+F16)</f>
        <v>6618486.6870983141</v>
      </c>
      <c r="G17" s="129">
        <f>F17*(1+G16)</f>
        <v>7037089.1589530725</v>
      </c>
    </row>
    <row r="18" spans="2:7" x14ac:dyDescent="0.3">
      <c r="B18" s="123" t="s">
        <v>177</v>
      </c>
      <c r="C18" s="114">
        <f>$I$9</f>
        <v>0.34555559928451601</v>
      </c>
      <c r="D18" s="114">
        <f>$I$9</f>
        <v>0.34555559928451601</v>
      </c>
      <c r="E18" s="114">
        <f>$I$9</f>
        <v>0.34555559928451601</v>
      </c>
      <c r="F18" s="114">
        <f>$I$9</f>
        <v>0.34555559928451601</v>
      </c>
      <c r="G18" s="114">
        <f>$I$9</f>
        <v>0.34555559928451601</v>
      </c>
    </row>
    <row r="19" spans="2:7" x14ac:dyDescent="0.3">
      <c r="B19" s="123" t="s">
        <v>160</v>
      </c>
      <c r="C19" s="129">
        <f>C17*(1-C18)</f>
        <v>3603532.093457059</v>
      </c>
      <c r="D19" s="129">
        <f>D17*(1-D18)</f>
        <v>3831446.3453161065</v>
      </c>
      <c r="E19" s="129">
        <f>E17*(1-E18)</f>
        <v>4073775.5946979416</v>
      </c>
      <c r="F19" s="129">
        <f t="shared" ref="F19:G19" si="1">F17*(1-F18)</f>
        <v>4331431.553581465</v>
      </c>
      <c r="G19" s="129">
        <f t="shared" si="1"/>
        <v>4605383.5974124726</v>
      </c>
    </row>
    <row r="20" spans="2:7" x14ac:dyDescent="0.3">
      <c r="B20" s="124" t="s">
        <v>17</v>
      </c>
      <c r="C20" s="118">
        <f>$J$12</f>
        <v>9.0598562972105001E-2</v>
      </c>
      <c r="D20" s="118">
        <f>$J$12</f>
        <v>9.0598562972105001E-2</v>
      </c>
      <c r="E20" s="118">
        <f>$J$12</f>
        <v>9.0598562972105001E-2</v>
      </c>
      <c r="F20" s="118">
        <f>$J$12</f>
        <v>9.0598562972105001E-2</v>
      </c>
      <c r="G20" s="118">
        <f>$J$12</f>
        <v>9.0598562972105001E-2</v>
      </c>
    </row>
    <row r="21" spans="2:7" x14ac:dyDescent="0.3">
      <c r="B21" s="125" t="s">
        <v>178</v>
      </c>
      <c r="C21" s="129">
        <f t="shared" ref="C21:G21" si="2">C19/(1+C20)^C15</f>
        <v>3304178.288697442</v>
      </c>
      <c r="D21" s="129">
        <f t="shared" si="2"/>
        <v>3221312.8570394623</v>
      </c>
      <c r="E21" s="129">
        <f t="shared" si="2"/>
        <v>3140525.6061465316</v>
      </c>
      <c r="F21" s="129">
        <f t="shared" si="2"/>
        <v>3061764.417358241</v>
      </c>
      <c r="G21" s="130">
        <f t="shared" si="2"/>
        <v>2984978.4790971875</v>
      </c>
    </row>
    <row r="22" spans="2:7" x14ac:dyDescent="0.3">
      <c r="G22" s="131">
        <f>SUM(C21:G21)</f>
        <v>15712759.648338865</v>
      </c>
    </row>
    <row r="25" spans="2:7" x14ac:dyDescent="0.3">
      <c r="B25" s="128" t="s">
        <v>179</v>
      </c>
      <c r="C25" s="118">
        <f>J13</f>
        <v>4.181E-2</v>
      </c>
      <c r="E25" s="125" t="s">
        <v>180</v>
      </c>
      <c r="F25" s="129">
        <f>C31+G22</f>
        <v>68161572.253207415</v>
      </c>
    </row>
    <row r="26" spans="2:7" x14ac:dyDescent="0.3">
      <c r="B26" s="128" t="s">
        <v>191</v>
      </c>
      <c r="C26" s="118">
        <f>J12</f>
        <v>9.0598562972105001E-2</v>
      </c>
      <c r="E26" s="125" t="s">
        <v>181</v>
      </c>
      <c r="F26" s="129">
        <f>F5</f>
        <v>6027804</v>
      </c>
    </row>
    <row r="27" spans="2:7" x14ac:dyDescent="0.3">
      <c r="B27" s="128" t="s">
        <v>182</v>
      </c>
      <c r="C27" s="118">
        <f>C25/C26</f>
        <v>0.46148634844101405</v>
      </c>
      <c r="E27" s="125" t="s">
        <v>183</v>
      </c>
      <c r="F27" s="122">
        <v>0</v>
      </c>
    </row>
    <row r="28" spans="2:7" x14ac:dyDescent="0.3">
      <c r="B28" s="128" t="s">
        <v>184</v>
      </c>
      <c r="C28" s="129">
        <f>G17*(1+C25)</f>
        <v>7331309.8566888999</v>
      </c>
      <c r="E28" s="125" t="s">
        <v>185</v>
      </c>
      <c r="F28" s="129">
        <f>Data!F7</f>
        <v>14670558.38267526</v>
      </c>
    </row>
    <row r="29" spans="2:7" x14ac:dyDescent="0.3">
      <c r="B29" s="128" t="s">
        <v>186</v>
      </c>
      <c r="C29" s="129">
        <f>C28*(1-C27)</f>
        <v>3948010.4416359249</v>
      </c>
      <c r="E29" s="125" t="s">
        <v>187</v>
      </c>
      <c r="F29" s="129">
        <f>F25+F26+F27-F28</f>
        <v>59518817.870532155</v>
      </c>
    </row>
    <row r="30" spans="2:7" x14ac:dyDescent="0.3">
      <c r="B30" s="128" t="s">
        <v>188</v>
      </c>
      <c r="C30" s="129">
        <f>C29/(C26-C25)</f>
        <v>80920818.346160576</v>
      </c>
      <c r="E30" s="125" t="s">
        <v>192</v>
      </c>
      <c r="F30" s="154">
        <f>Data!B6</f>
        <v>442895</v>
      </c>
    </row>
    <row r="31" spans="2:7" x14ac:dyDescent="0.3">
      <c r="B31" s="128" t="s">
        <v>189</v>
      </c>
      <c r="C31" s="129">
        <f>C30/(1+J12)^5</f>
        <v>52448812.604868554</v>
      </c>
      <c r="E31" s="125" t="s">
        <v>190</v>
      </c>
      <c r="F31" s="155">
        <f>F29/F30</f>
        <v>134.38584285334483</v>
      </c>
    </row>
    <row r="32" spans="2:7" x14ac:dyDescent="0.3">
      <c r="E32" s="125" t="s">
        <v>194</v>
      </c>
      <c r="F32" s="112">
        <v>290.70999999999998</v>
      </c>
    </row>
  </sheetData>
  <mergeCells count="1">
    <mergeCell ref="B14:G1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210807-A2E5-49D5-9590-B0B81F9BC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Balance Sheet</vt:lpstr>
      <vt:lpstr>Income Statement</vt:lpstr>
      <vt:lpstr>Cash Flow Statement</vt:lpstr>
      <vt:lpstr>Data</vt:lpstr>
      <vt:lpstr>CRP</vt:lpstr>
      <vt:lpstr>Beta</vt:lpstr>
      <vt:lpstr>Cost of Equity</vt:lpstr>
      <vt:lpstr>Cost of Debt</vt:lpstr>
      <vt:lpstr>WACC</vt:lpstr>
      <vt:lpstr>R&amp;D</vt:lpstr>
      <vt:lpstr>CAPEX</vt:lpstr>
      <vt:lpstr>NON CASH NWC</vt:lpstr>
      <vt:lpstr>FCFF</vt:lpstr>
      <vt:lpstr>GROWTH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Simone Di Tommaso</dc:creator>
  <cp:keywords/>
  <dc:description/>
  <cp:lastModifiedBy>SIMONE DI TOMMASO</cp:lastModifiedBy>
  <cp:revision/>
  <dcterms:created xsi:type="dcterms:W3CDTF">2022-10-17T15:09:21Z</dcterms:created>
  <dcterms:modified xsi:type="dcterms:W3CDTF">2026-05-06T16:18:20Z</dcterms:modified>
  <cp:category/>
  <cp:contentStatus/>
</cp:coreProperties>
</file>